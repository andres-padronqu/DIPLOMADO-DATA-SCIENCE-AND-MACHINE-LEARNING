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98f70950266c76d/Documentos/Clases ITAM/Data Science Machine Learning Financial Markets/G19 Linea/Clases/"/>
    </mc:Choice>
  </mc:AlternateContent>
  <xr:revisionPtr revIDLastSave="50" documentId="13_ncr:1_{80F7B403-9164-4A32-8D35-82954DA0E4CB}" xr6:coauthVersionLast="47" xr6:coauthVersionMax="47" xr10:uidLastSave="{6F26A0C1-97D4-4A8B-BD59-764A588D3606}"/>
  <bookViews>
    <workbookView xWindow="-108" yWindow="-108" windowWidth="23256" windowHeight="13896" xr2:uid="{00000000-000D-0000-FFFF-FFFF00000000}"/>
  </bookViews>
  <sheets>
    <sheet name="Activo1" sheetId="2" r:id="rId1"/>
    <sheet name="Activo1_" sheetId="1" r:id="rId2"/>
    <sheet name="Portafolios" sheetId="3" r:id="rId3"/>
  </sheets>
  <functionGroups builtInGroupCount="19"/>
  <definedNames>
    <definedName name="M">Portafolios!$Q$31:$Q$33</definedName>
    <definedName name="PT_Sharpe_Adj">Portafolios!$AA$66</definedName>
    <definedName name="rf">#REF!</definedName>
    <definedName name="V">Portafolios!$L$18:$N$20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3" i="3" l="1"/>
  <c r="M6" i="1"/>
  <c r="N6" i="1"/>
  <c r="I8" i="3" l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7" i="3"/>
  <c r="O39" i="3" a="1"/>
  <c r="O39" i="3" l="1"/>
  <c r="O6" i="3"/>
  <c r="O12" i="3" s="1"/>
  <c r="O7" i="3"/>
  <c r="O13" i="3" s="1"/>
  <c r="O5" i="3"/>
  <c r="O11" i="3" s="1"/>
  <c r="O14" i="3" l="1"/>
  <c r="K53" i="3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2" i="3" s="1"/>
  <c r="K73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H8" i="3" l="1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7" i="3"/>
  <c r="C2" i="3"/>
  <c r="D2" i="3"/>
  <c r="B2" i="3"/>
  <c r="L26" i="3" s="1"/>
  <c r="M19" i="3" l="1"/>
  <c r="L18" i="3"/>
  <c r="L5" i="3"/>
  <c r="N5" i="3"/>
  <c r="N11" i="3" s="1"/>
  <c r="N19" i="3"/>
  <c r="M20" i="3" s="1"/>
  <c r="N20" i="3"/>
  <c r="L11" i="3"/>
  <c r="M6" i="3"/>
  <c r="M12" i="3" s="1"/>
  <c r="M18" i="3"/>
  <c r="L19" i="3" s="1"/>
  <c r="N18" i="3"/>
  <c r="L20" i="3" s="1"/>
  <c r="Q33" i="3"/>
  <c r="M26" i="3"/>
  <c r="N26" i="3"/>
  <c r="M5" i="3"/>
  <c r="M11" i="3" s="1"/>
  <c r="L7" i="3"/>
  <c r="L13" i="3" s="1"/>
  <c r="L6" i="3"/>
  <c r="L12" i="3" s="1"/>
  <c r="N7" i="3"/>
  <c r="N13" i="3" s="1"/>
  <c r="N6" i="3"/>
  <c r="N12" i="3" s="1"/>
  <c r="M7" i="3"/>
  <c r="C2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D239" i="1" s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D415" i="1" s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7" i="1"/>
  <c r="C6" i="1"/>
  <c r="D663" i="1" l="1"/>
  <c r="D447" i="1"/>
  <c r="D135" i="1"/>
  <c r="D519" i="1"/>
  <c r="D482" i="1"/>
  <c r="D662" i="1"/>
  <c r="D7" i="1"/>
  <c r="D666" i="1"/>
  <c r="D658" i="1"/>
  <c r="D642" i="1"/>
  <c r="D626" i="1"/>
  <c r="D618" i="1"/>
  <c r="D610" i="1"/>
  <c r="D602" i="1"/>
  <c r="D594" i="1"/>
  <c r="D578" i="1"/>
  <c r="D562" i="1"/>
  <c r="D554" i="1"/>
  <c r="D546" i="1"/>
  <c r="D538" i="1"/>
  <c r="D530" i="1"/>
  <c r="D514" i="1"/>
  <c r="D498" i="1"/>
  <c r="D490" i="1"/>
  <c r="D386" i="1"/>
  <c r="D654" i="1"/>
  <c r="D665" i="1"/>
  <c r="D315" i="1"/>
  <c r="D646" i="1"/>
  <c r="D672" i="1"/>
  <c r="D664" i="1"/>
  <c r="D656" i="1"/>
  <c r="D648" i="1"/>
  <c r="D271" i="1"/>
  <c r="D635" i="1"/>
  <c r="D107" i="1"/>
  <c r="D638" i="1"/>
  <c r="D589" i="1"/>
  <c r="D349" i="1"/>
  <c r="D205" i="1"/>
  <c r="D173" i="1"/>
  <c r="D69" i="1"/>
  <c r="D555" i="1"/>
  <c r="D670" i="1"/>
  <c r="D45" i="1"/>
  <c r="D474" i="1"/>
  <c r="D466" i="1"/>
  <c r="D450" i="1"/>
  <c r="D434" i="1"/>
  <c r="D426" i="1"/>
  <c r="D418" i="1"/>
  <c r="D410" i="1"/>
  <c r="D402" i="1"/>
  <c r="D370" i="1"/>
  <c r="D362" i="1"/>
  <c r="D354" i="1"/>
  <c r="D346" i="1"/>
  <c r="D338" i="1"/>
  <c r="D322" i="1"/>
  <c r="D306" i="1"/>
  <c r="D298" i="1"/>
  <c r="D290" i="1"/>
  <c r="D282" i="1"/>
  <c r="D274" i="1"/>
  <c r="D258" i="1"/>
  <c r="D242" i="1"/>
  <c r="D234" i="1"/>
  <c r="D226" i="1"/>
  <c r="D218" i="1"/>
  <c r="D210" i="1"/>
  <c r="D194" i="1"/>
  <c r="D178" i="1"/>
  <c r="D170" i="1"/>
  <c r="D162" i="1"/>
  <c r="D154" i="1"/>
  <c r="D146" i="1"/>
  <c r="D130" i="1"/>
  <c r="D114" i="1"/>
  <c r="D106" i="1"/>
  <c r="D98" i="1"/>
  <c r="D90" i="1"/>
  <c r="D82" i="1"/>
  <c r="D66" i="1"/>
  <c r="D50" i="1"/>
  <c r="D42" i="1"/>
  <c r="D34" i="1"/>
  <c r="D18" i="1"/>
  <c r="D10" i="1"/>
  <c r="D671" i="1"/>
  <c r="D637" i="1"/>
  <c r="D591" i="1"/>
  <c r="D557" i="1"/>
  <c r="D523" i="1"/>
  <c r="D483" i="1"/>
  <c r="D453" i="1"/>
  <c r="D419" i="1"/>
  <c r="D389" i="1"/>
  <c r="D351" i="1"/>
  <c r="D317" i="1"/>
  <c r="D279" i="1"/>
  <c r="D245" i="1"/>
  <c r="D207" i="1"/>
  <c r="D175" i="1"/>
  <c r="D141" i="1"/>
  <c r="D109" i="1"/>
  <c r="D71" i="1"/>
  <c r="D43" i="1"/>
  <c r="D31" i="1"/>
  <c r="D632" i="1"/>
  <c r="D616" i="1"/>
  <c r="D608" i="1"/>
  <c r="D600" i="1"/>
  <c r="D592" i="1"/>
  <c r="D584" i="1"/>
  <c r="D568" i="1"/>
  <c r="D552" i="1"/>
  <c r="D544" i="1"/>
  <c r="D536" i="1"/>
  <c r="D528" i="1"/>
  <c r="D520" i="1"/>
  <c r="D504" i="1"/>
  <c r="D488" i="1"/>
  <c r="D480" i="1"/>
  <c r="D472" i="1"/>
  <c r="D464" i="1"/>
  <c r="D456" i="1"/>
  <c r="D440" i="1"/>
  <c r="D424" i="1"/>
  <c r="D416" i="1"/>
  <c r="D408" i="1"/>
  <c r="D400" i="1"/>
  <c r="D392" i="1"/>
  <c r="D376" i="1"/>
  <c r="D360" i="1"/>
  <c r="D352" i="1"/>
  <c r="D344" i="1"/>
  <c r="D336" i="1"/>
  <c r="D328" i="1"/>
  <c r="D312" i="1"/>
  <c r="D296" i="1"/>
  <c r="D288" i="1"/>
  <c r="D280" i="1"/>
  <c r="D272" i="1"/>
  <c r="D264" i="1"/>
  <c r="D248" i="1"/>
  <c r="D232" i="1"/>
  <c r="D224" i="1"/>
  <c r="D216" i="1"/>
  <c r="D208" i="1"/>
  <c r="D200" i="1"/>
  <c r="D184" i="1"/>
  <c r="D168" i="1"/>
  <c r="D160" i="1"/>
  <c r="D152" i="1"/>
  <c r="D144" i="1"/>
  <c r="D136" i="1"/>
  <c r="D120" i="1"/>
  <c r="D104" i="1"/>
  <c r="D96" i="1"/>
  <c r="D88" i="1"/>
  <c r="D80" i="1"/>
  <c r="D72" i="1"/>
  <c r="D56" i="1"/>
  <c r="D40" i="1"/>
  <c r="D32" i="1"/>
  <c r="D24" i="1"/>
  <c r="D16" i="1"/>
  <c r="D655" i="1"/>
  <c r="D629" i="1"/>
  <c r="D583" i="1"/>
  <c r="D543" i="1"/>
  <c r="D517" i="1"/>
  <c r="D479" i="1"/>
  <c r="D445" i="1"/>
  <c r="D413" i="1"/>
  <c r="D383" i="1"/>
  <c r="D343" i="1"/>
  <c r="D309" i="1"/>
  <c r="D269" i="1"/>
  <c r="D237" i="1"/>
  <c r="D199" i="1"/>
  <c r="D171" i="1"/>
  <c r="D133" i="1"/>
  <c r="D95" i="1"/>
  <c r="D63" i="1"/>
  <c r="D29" i="1"/>
  <c r="D653" i="1"/>
  <c r="D623" i="1"/>
  <c r="D581" i="1"/>
  <c r="D541" i="1"/>
  <c r="D511" i="1"/>
  <c r="D477" i="1"/>
  <c r="D443" i="1"/>
  <c r="D411" i="1"/>
  <c r="D381" i="1"/>
  <c r="D335" i="1"/>
  <c r="D303" i="1"/>
  <c r="D263" i="1"/>
  <c r="D235" i="1"/>
  <c r="D197" i="1"/>
  <c r="D159" i="1"/>
  <c r="D127" i="1"/>
  <c r="D93" i="1"/>
  <c r="D61" i="1"/>
  <c r="D27" i="1"/>
  <c r="D630" i="1"/>
  <c r="D614" i="1"/>
  <c r="D598" i="1"/>
  <c r="D590" i="1"/>
  <c r="D582" i="1"/>
  <c r="D574" i="1"/>
  <c r="D566" i="1"/>
  <c r="D550" i="1"/>
  <c r="D534" i="1"/>
  <c r="D526" i="1"/>
  <c r="D518" i="1"/>
  <c r="D510" i="1"/>
  <c r="D502" i="1"/>
  <c r="D486" i="1"/>
  <c r="D470" i="1"/>
  <c r="D462" i="1"/>
  <c r="D454" i="1"/>
  <c r="D446" i="1"/>
  <c r="D438" i="1"/>
  <c r="D422" i="1"/>
  <c r="D406" i="1"/>
  <c r="D398" i="1"/>
  <c r="D390" i="1"/>
  <c r="D382" i="1"/>
  <c r="D374" i="1"/>
  <c r="D358" i="1"/>
  <c r="D342" i="1"/>
  <c r="D334" i="1"/>
  <c r="D326" i="1"/>
  <c r="D318" i="1"/>
  <c r="D310" i="1"/>
  <c r="D294" i="1"/>
  <c r="D278" i="1"/>
  <c r="D270" i="1"/>
  <c r="D262" i="1"/>
  <c r="D254" i="1"/>
  <c r="D246" i="1"/>
  <c r="D230" i="1"/>
  <c r="D214" i="1"/>
  <c r="D206" i="1"/>
  <c r="D198" i="1"/>
  <c r="D190" i="1"/>
  <c r="D182" i="1"/>
  <c r="D166" i="1"/>
  <c r="D150" i="1"/>
  <c r="D142" i="1"/>
  <c r="D134" i="1"/>
  <c r="D126" i="1"/>
  <c r="D118" i="1"/>
  <c r="D102" i="1"/>
  <c r="D86" i="1"/>
  <c r="D78" i="1"/>
  <c r="D70" i="1"/>
  <c r="D62" i="1"/>
  <c r="D54" i="1"/>
  <c r="D38" i="1"/>
  <c r="D22" i="1"/>
  <c r="D14" i="1"/>
  <c r="D6" i="1"/>
  <c r="D651" i="1"/>
  <c r="D621" i="1"/>
  <c r="D575" i="1"/>
  <c r="D539" i="1"/>
  <c r="D509" i="1"/>
  <c r="D471" i="1"/>
  <c r="D437" i="1"/>
  <c r="D407" i="1"/>
  <c r="D379" i="1"/>
  <c r="D333" i="1"/>
  <c r="D301" i="1"/>
  <c r="D261" i="1"/>
  <c r="D223" i="1"/>
  <c r="D191" i="1"/>
  <c r="D157" i="1"/>
  <c r="D125" i="1"/>
  <c r="D91" i="1"/>
  <c r="D59" i="1"/>
  <c r="D26" i="1"/>
  <c r="D23" i="1"/>
  <c r="D11" i="1"/>
  <c r="D607" i="1"/>
  <c r="D573" i="1"/>
  <c r="D501" i="1"/>
  <c r="D431" i="1"/>
  <c r="D373" i="1"/>
  <c r="D327" i="1"/>
  <c r="D255" i="1"/>
  <c r="D189" i="1"/>
  <c r="D123" i="1"/>
  <c r="D53" i="1"/>
  <c r="D660" i="1"/>
  <c r="D644" i="1"/>
  <c r="D628" i="1"/>
  <c r="D612" i="1"/>
  <c r="D572" i="1"/>
  <c r="D548" i="1"/>
  <c r="D532" i="1"/>
  <c r="D516" i="1"/>
  <c r="D500" i="1"/>
  <c r="D492" i="1"/>
  <c r="D484" i="1"/>
  <c r="D468" i="1"/>
  <c r="D452" i="1"/>
  <c r="D444" i="1"/>
  <c r="D436" i="1"/>
  <c r="D428" i="1"/>
  <c r="D420" i="1"/>
  <c r="D404" i="1"/>
  <c r="D388" i="1"/>
  <c r="D380" i="1"/>
  <c r="D372" i="1"/>
  <c r="D364" i="1"/>
  <c r="D356" i="1"/>
  <c r="D340" i="1"/>
  <c r="D324" i="1"/>
  <c r="D316" i="1"/>
  <c r="D308" i="1"/>
  <c r="D300" i="1"/>
  <c r="D292" i="1"/>
  <c r="D276" i="1"/>
  <c r="D260" i="1"/>
  <c r="D252" i="1"/>
  <c r="D244" i="1"/>
  <c r="D236" i="1"/>
  <c r="D228" i="1"/>
  <c r="D212" i="1"/>
  <c r="D196" i="1"/>
  <c r="D188" i="1"/>
  <c r="D180" i="1"/>
  <c r="D172" i="1"/>
  <c r="D164" i="1"/>
  <c r="D148" i="1"/>
  <c r="D132" i="1"/>
  <c r="D124" i="1"/>
  <c r="D116" i="1"/>
  <c r="D108" i="1"/>
  <c r="D100" i="1"/>
  <c r="D84" i="1"/>
  <c r="D68" i="1"/>
  <c r="D60" i="1"/>
  <c r="D52" i="1"/>
  <c r="D44" i="1"/>
  <c r="D36" i="1"/>
  <c r="D20" i="1"/>
  <c r="D12" i="1"/>
  <c r="D9" i="1"/>
  <c r="D645" i="1"/>
  <c r="D605" i="1"/>
  <c r="D565" i="1"/>
  <c r="D527" i="1"/>
  <c r="D495" i="1"/>
  <c r="D461" i="1"/>
  <c r="D429" i="1"/>
  <c r="D397" i="1"/>
  <c r="D367" i="1"/>
  <c r="D325" i="1"/>
  <c r="D287" i="1"/>
  <c r="D253" i="1"/>
  <c r="D219" i="1"/>
  <c r="D187" i="1"/>
  <c r="D151" i="1"/>
  <c r="D117" i="1"/>
  <c r="D79" i="1"/>
  <c r="D47" i="1"/>
  <c r="D647" i="1"/>
  <c r="D535" i="1"/>
  <c r="D463" i="1"/>
  <c r="D399" i="1"/>
  <c r="D299" i="1"/>
  <c r="D221" i="1"/>
  <c r="D155" i="1"/>
  <c r="D87" i="1"/>
  <c r="D668" i="1"/>
  <c r="D636" i="1"/>
  <c r="D620" i="1"/>
  <c r="D596" i="1"/>
  <c r="D580" i="1"/>
  <c r="D564" i="1"/>
  <c r="D556" i="1"/>
  <c r="D508" i="1"/>
  <c r="D627" i="1"/>
  <c r="D619" i="1"/>
  <c r="D611" i="1"/>
  <c r="D603" i="1"/>
  <c r="D587" i="1"/>
  <c r="D571" i="1"/>
  <c r="D563" i="1"/>
  <c r="D547" i="1"/>
  <c r="D507" i="1"/>
  <c r="D499" i="1"/>
  <c r="D491" i="1"/>
  <c r="D475" i="1"/>
  <c r="D459" i="1"/>
  <c r="D435" i="1"/>
  <c r="D395" i="1"/>
  <c r="D371" i="1"/>
  <c r="D363" i="1"/>
  <c r="D355" i="1"/>
  <c r="D347" i="1"/>
  <c r="D331" i="1"/>
  <c r="D307" i="1"/>
  <c r="D291" i="1"/>
  <c r="D283" i="1"/>
  <c r="D267" i="1"/>
  <c r="D243" i="1"/>
  <c r="D227" i="1"/>
  <c r="D203" i="1"/>
  <c r="D179" i="1"/>
  <c r="D163" i="1"/>
  <c r="D139" i="1"/>
  <c r="D115" i="1"/>
  <c r="D99" i="1"/>
  <c r="D75" i="1"/>
  <c r="D51" i="1"/>
  <c r="D35" i="1"/>
  <c r="D673" i="1"/>
  <c r="D639" i="1"/>
  <c r="D599" i="1"/>
  <c r="D559" i="1"/>
  <c r="D525" i="1"/>
  <c r="D493" i="1"/>
  <c r="D455" i="1"/>
  <c r="D427" i="1"/>
  <c r="D391" i="1"/>
  <c r="D365" i="1"/>
  <c r="D319" i="1"/>
  <c r="D285" i="1"/>
  <c r="D251" i="1"/>
  <c r="D215" i="1"/>
  <c r="D181" i="1"/>
  <c r="D143" i="1"/>
  <c r="D111" i="1"/>
  <c r="D77" i="1"/>
  <c r="J6" i="1"/>
  <c r="I6" i="1"/>
  <c r="L14" i="3"/>
  <c r="Q31" i="3"/>
  <c r="D17" i="1"/>
  <c r="D25" i="1"/>
  <c r="D33" i="1"/>
  <c r="D41" i="1"/>
  <c r="D49" i="1"/>
  <c r="D57" i="1"/>
  <c r="D65" i="1"/>
  <c r="D73" i="1"/>
  <c r="D81" i="1"/>
  <c r="D89" i="1"/>
  <c r="D97" i="1"/>
  <c r="D105" i="1"/>
  <c r="D113" i="1"/>
  <c r="D121" i="1"/>
  <c r="D129" i="1"/>
  <c r="D137" i="1"/>
  <c r="D145" i="1"/>
  <c r="D153" i="1"/>
  <c r="D161" i="1"/>
  <c r="D169" i="1"/>
  <c r="D177" i="1"/>
  <c r="D185" i="1"/>
  <c r="D193" i="1"/>
  <c r="D201" i="1"/>
  <c r="D209" i="1"/>
  <c r="D217" i="1"/>
  <c r="D225" i="1"/>
  <c r="D233" i="1"/>
  <c r="D241" i="1"/>
  <c r="D249" i="1"/>
  <c r="D257" i="1"/>
  <c r="D265" i="1"/>
  <c r="D273" i="1"/>
  <c r="D281" i="1"/>
  <c r="D289" i="1"/>
  <c r="D297" i="1"/>
  <c r="D305" i="1"/>
  <c r="D313" i="1"/>
  <c r="D321" i="1"/>
  <c r="D329" i="1"/>
  <c r="D337" i="1"/>
  <c r="D345" i="1"/>
  <c r="D353" i="1"/>
  <c r="D361" i="1"/>
  <c r="D369" i="1"/>
  <c r="D377" i="1"/>
  <c r="D385" i="1"/>
  <c r="D393" i="1"/>
  <c r="D401" i="1"/>
  <c r="D409" i="1"/>
  <c r="D417" i="1"/>
  <c r="D425" i="1"/>
  <c r="D433" i="1"/>
  <c r="D441" i="1"/>
  <c r="D449" i="1"/>
  <c r="D457" i="1"/>
  <c r="D465" i="1"/>
  <c r="D473" i="1"/>
  <c r="D481" i="1"/>
  <c r="D489" i="1"/>
  <c r="D497" i="1"/>
  <c r="D505" i="1"/>
  <c r="D513" i="1"/>
  <c r="D521" i="1"/>
  <c r="D529" i="1"/>
  <c r="D537" i="1"/>
  <c r="D545" i="1"/>
  <c r="D553" i="1"/>
  <c r="D561" i="1"/>
  <c r="D569" i="1"/>
  <c r="D577" i="1"/>
  <c r="D585" i="1"/>
  <c r="D593" i="1"/>
  <c r="D601" i="1"/>
  <c r="D609" i="1"/>
  <c r="D617" i="1"/>
  <c r="D625" i="1"/>
  <c r="D633" i="1"/>
  <c r="D641" i="1"/>
  <c r="D649" i="1"/>
  <c r="D657" i="1"/>
  <c r="D15" i="1"/>
  <c r="D669" i="1"/>
  <c r="D661" i="1"/>
  <c r="D652" i="1"/>
  <c r="D643" i="1"/>
  <c r="D634" i="1"/>
  <c r="D624" i="1"/>
  <c r="D615" i="1"/>
  <c r="D606" i="1"/>
  <c r="D597" i="1"/>
  <c r="D588" i="1"/>
  <c r="D579" i="1"/>
  <c r="D570" i="1"/>
  <c r="D560" i="1"/>
  <c r="D551" i="1"/>
  <c r="D542" i="1"/>
  <c r="D533" i="1"/>
  <c r="D524" i="1"/>
  <c r="D515" i="1"/>
  <c r="D506" i="1"/>
  <c r="D496" i="1"/>
  <c r="D487" i="1"/>
  <c r="D478" i="1"/>
  <c r="D469" i="1"/>
  <c r="D460" i="1"/>
  <c r="D451" i="1"/>
  <c r="D442" i="1"/>
  <c r="D432" i="1"/>
  <c r="D423" i="1"/>
  <c r="D414" i="1"/>
  <c r="D405" i="1"/>
  <c r="D396" i="1"/>
  <c r="D387" i="1"/>
  <c r="D378" i="1"/>
  <c r="D368" i="1"/>
  <c r="D359" i="1"/>
  <c r="D350" i="1"/>
  <c r="D341" i="1"/>
  <c r="D332" i="1"/>
  <c r="D323" i="1"/>
  <c r="D314" i="1"/>
  <c r="D304" i="1"/>
  <c r="D295" i="1"/>
  <c r="D286" i="1"/>
  <c r="D277" i="1"/>
  <c r="D268" i="1"/>
  <c r="D259" i="1"/>
  <c r="D250" i="1"/>
  <c r="D240" i="1"/>
  <c r="D231" i="1"/>
  <c r="D222" i="1"/>
  <c r="D213" i="1"/>
  <c r="D204" i="1"/>
  <c r="D195" i="1"/>
  <c r="D186" i="1"/>
  <c r="D176" i="1"/>
  <c r="D167" i="1"/>
  <c r="D158" i="1"/>
  <c r="D149" i="1"/>
  <c r="D140" i="1"/>
  <c r="D131" i="1"/>
  <c r="D122" i="1"/>
  <c r="D112" i="1"/>
  <c r="D103" i="1"/>
  <c r="D94" i="1"/>
  <c r="D85" i="1"/>
  <c r="D76" i="1"/>
  <c r="D67" i="1"/>
  <c r="D58" i="1"/>
  <c r="D48" i="1"/>
  <c r="D39" i="1"/>
  <c r="D30" i="1"/>
  <c r="D21" i="1"/>
  <c r="D8" i="1"/>
  <c r="D13" i="1"/>
  <c r="D667" i="1"/>
  <c r="D659" i="1"/>
  <c r="D650" i="1"/>
  <c r="D640" i="1"/>
  <c r="D631" i="1"/>
  <c r="D622" i="1"/>
  <c r="D613" i="1"/>
  <c r="D604" i="1"/>
  <c r="D595" i="1"/>
  <c r="D586" i="1"/>
  <c r="D576" i="1"/>
  <c r="D567" i="1"/>
  <c r="D558" i="1"/>
  <c r="D549" i="1"/>
  <c r="D540" i="1"/>
  <c r="D531" i="1"/>
  <c r="D522" i="1"/>
  <c r="D512" i="1"/>
  <c r="D503" i="1"/>
  <c r="D494" i="1"/>
  <c r="D485" i="1"/>
  <c r="D476" i="1"/>
  <c r="D467" i="1"/>
  <c r="D458" i="1"/>
  <c r="D448" i="1"/>
  <c r="D439" i="1"/>
  <c r="D430" i="1"/>
  <c r="D421" i="1"/>
  <c r="D412" i="1"/>
  <c r="D403" i="1"/>
  <c r="D394" i="1"/>
  <c r="D384" i="1"/>
  <c r="D375" i="1"/>
  <c r="D366" i="1"/>
  <c r="D357" i="1"/>
  <c r="D348" i="1"/>
  <c r="D339" i="1"/>
  <c r="D330" i="1"/>
  <c r="D320" i="1"/>
  <c r="D311" i="1"/>
  <c r="D302" i="1"/>
  <c r="D293" i="1"/>
  <c r="D284" i="1"/>
  <c r="D275" i="1"/>
  <c r="D266" i="1"/>
  <c r="D256" i="1"/>
  <c r="D247" i="1"/>
  <c r="D238" i="1"/>
  <c r="D229" i="1"/>
  <c r="D220" i="1"/>
  <c r="D211" i="1"/>
  <c r="D202" i="1"/>
  <c r="D192" i="1"/>
  <c r="D183" i="1"/>
  <c r="D174" i="1"/>
  <c r="D165" i="1"/>
  <c r="D156" i="1"/>
  <c r="D147" i="1"/>
  <c r="D138" i="1"/>
  <c r="D128" i="1"/>
  <c r="D119" i="1"/>
  <c r="D110" i="1"/>
  <c r="D101" i="1"/>
  <c r="D92" i="1"/>
  <c r="D83" i="1"/>
  <c r="D74" i="1"/>
  <c r="D64" i="1"/>
  <c r="D55" i="1"/>
  <c r="D46" i="1"/>
  <c r="D37" i="1"/>
  <c r="D28" i="1"/>
  <c r="D19" i="1"/>
  <c r="M14" i="3"/>
  <c r="R18" i="3" a="1"/>
  <c r="Q32" i="3"/>
  <c r="N14" i="3"/>
  <c r="O26" i="3"/>
  <c r="N27" i="3" s="1"/>
  <c r="L75" i="3" a="1"/>
  <c r="L76" i="3" a="1"/>
  <c r="L92" i="3" a="1"/>
  <c r="L61" i="3" a="1"/>
  <c r="L85" i="3" a="1"/>
  <c r="M44" i="3" a="1"/>
  <c r="L69" i="3" a="1"/>
  <c r="L82" i="3" a="1"/>
  <c r="L90" i="3" a="1"/>
  <c r="L55" i="3" a="1"/>
  <c r="L53" i="3" a="1"/>
  <c r="L77" i="3" a="1"/>
  <c r="L64" i="3" a="1"/>
  <c r="L59" i="3" a="1"/>
  <c r="L58" i="3" a="1"/>
  <c r="L73" i="3" a="1"/>
  <c r="L91" i="3" a="1"/>
  <c r="L67" i="3" a="1"/>
  <c r="L63" i="3" a="1"/>
  <c r="L83" i="3" a="1"/>
  <c r="L86" i="3" a="1"/>
  <c r="L87" i="3" a="1"/>
  <c r="L68" i="3" a="1"/>
  <c r="L70" i="3" a="1"/>
  <c r="L81" i="3" a="1"/>
  <c r="L60" i="3" a="1"/>
  <c r="L80" i="3" a="1"/>
  <c r="L52" i="3" a="1"/>
  <c r="L88" i="3" a="1"/>
  <c r="L57" i="3" a="1"/>
  <c r="L66" i="3" a="1"/>
  <c r="L54" i="3" a="1"/>
  <c r="L65" i="3" a="1"/>
  <c r="L56" i="3" a="1"/>
  <c r="L84" i="3" a="1"/>
  <c r="L89" i="3" a="1"/>
  <c r="L72" i="3" a="1"/>
  <c r="L62" i="3" a="1"/>
  <c r="L79" i="3" a="1"/>
  <c r="L93" i="3" a="1"/>
  <c r="L78" i="3" a="1"/>
  <c r="E6" i="1" l="1"/>
  <c r="G7" i="1"/>
  <c r="R18" i="3"/>
  <c r="S19" i="3"/>
  <c r="S20" i="3"/>
  <c r="T20" i="3"/>
  <c r="R19" i="3"/>
  <c r="R20" i="3"/>
  <c r="S18" i="3"/>
  <c r="T18" i="3"/>
  <c r="T19" i="3"/>
  <c r="F6" i="1"/>
  <c r="G6" i="1" s="1"/>
  <c r="I14" i="1"/>
  <c r="I7" i="1"/>
  <c r="N10" i="1"/>
  <c r="M10" i="1"/>
  <c r="J14" i="1"/>
  <c r="M54" i="3"/>
  <c r="N54" i="3"/>
  <c r="L54" i="3"/>
  <c r="M58" i="3"/>
  <c r="N58" i="3"/>
  <c r="L58" i="3"/>
  <c r="M62" i="3"/>
  <c r="N62" i="3"/>
  <c r="L62" i="3"/>
  <c r="M66" i="3"/>
  <c r="N66" i="3"/>
  <c r="L66" i="3"/>
  <c r="M70" i="3"/>
  <c r="N70" i="3"/>
  <c r="L70" i="3"/>
  <c r="M76" i="3"/>
  <c r="N76" i="3"/>
  <c r="L76" i="3"/>
  <c r="M80" i="3"/>
  <c r="N80" i="3"/>
  <c r="L80" i="3"/>
  <c r="M84" i="3"/>
  <c r="T84" i="3" s="1"/>
  <c r="T85" i="3" s="1"/>
  <c r="T86" i="3" s="1"/>
  <c r="N84" i="3"/>
  <c r="U84" i="3" s="1"/>
  <c r="U85" i="3" s="1"/>
  <c r="U86" i="3" s="1"/>
  <c r="L84" i="3"/>
  <c r="M88" i="3"/>
  <c r="N88" i="3"/>
  <c r="L88" i="3"/>
  <c r="M92" i="3"/>
  <c r="N92" i="3"/>
  <c r="L92" i="3"/>
  <c r="M45" i="3"/>
  <c r="M46" i="3"/>
  <c r="M44" i="3"/>
  <c r="L55" i="3"/>
  <c r="M55" i="3"/>
  <c r="N55" i="3"/>
  <c r="L59" i="3"/>
  <c r="M59" i="3"/>
  <c r="N59" i="3"/>
  <c r="L63" i="3"/>
  <c r="M63" i="3"/>
  <c r="N63" i="3"/>
  <c r="L67" i="3"/>
  <c r="M67" i="3"/>
  <c r="N67" i="3"/>
  <c r="L72" i="3"/>
  <c r="M72" i="3"/>
  <c r="N72" i="3"/>
  <c r="L77" i="3"/>
  <c r="M77" i="3"/>
  <c r="N77" i="3"/>
  <c r="L81" i="3"/>
  <c r="M81" i="3"/>
  <c r="N81" i="3"/>
  <c r="L85" i="3"/>
  <c r="M85" i="3"/>
  <c r="N85" i="3"/>
  <c r="L89" i="3"/>
  <c r="M89" i="3"/>
  <c r="N89" i="3"/>
  <c r="L93" i="3"/>
  <c r="M93" i="3"/>
  <c r="N93" i="3"/>
  <c r="N57" i="3"/>
  <c r="L57" i="3"/>
  <c r="M57" i="3"/>
  <c r="N65" i="3"/>
  <c r="L65" i="3"/>
  <c r="M65" i="3"/>
  <c r="N75" i="3"/>
  <c r="L75" i="3"/>
  <c r="M75" i="3"/>
  <c r="N83" i="3"/>
  <c r="L83" i="3"/>
  <c r="M83" i="3"/>
  <c r="N91" i="3"/>
  <c r="L91" i="3"/>
  <c r="M91" i="3"/>
  <c r="N61" i="3"/>
  <c r="L61" i="3"/>
  <c r="M61" i="3"/>
  <c r="N79" i="3"/>
  <c r="L79" i="3"/>
  <c r="M79" i="3"/>
  <c r="L52" i="3"/>
  <c r="M52" i="3"/>
  <c r="N52" i="3"/>
  <c r="L73" i="3"/>
  <c r="M73" i="3"/>
  <c r="N73" i="3"/>
  <c r="L90" i="3"/>
  <c r="N90" i="3"/>
  <c r="M90" i="3"/>
  <c r="L60" i="3"/>
  <c r="M60" i="3"/>
  <c r="N60" i="3"/>
  <c r="L68" i="3"/>
  <c r="M68" i="3"/>
  <c r="N68" i="3"/>
  <c r="L78" i="3"/>
  <c r="M78" i="3"/>
  <c r="N78" i="3"/>
  <c r="L86" i="3"/>
  <c r="N86" i="3"/>
  <c r="M86" i="3"/>
  <c r="N53" i="3"/>
  <c r="L53" i="3"/>
  <c r="M53" i="3"/>
  <c r="N69" i="3"/>
  <c r="L69" i="3"/>
  <c r="M69" i="3"/>
  <c r="N87" i="3"/>
  <c r="L87" i="3"/>
  <c r="M87" i="3"/>
  <c r="L56" i="3"/>
  <c r="M56" i="3"/>
  <c r="N56" i="3"/>
  <c r="L64" i="3"/>
  <c r="M64" i="3"/>
  <c r="N64" i="3"/>
  <c r="L82" i="3"/>
  <c r="M82" i="3"/>
  <c r="N82" i="3"/>
  <c r="M27" i="3"/>
  <c r="L27" i="3"/>
  <c r="L44" i="3" l="1" a="1"/>
  <c r="L45" i="3" s="1"/>
  <c r="L37" i="3" a="1"/>
  <c r="M7" i="1"/>
  <c r="N7" i="1"/>
  <c r="R26" i="3" a="1"/>
  <c r="R26" i="3" s="1"/>
  <c r="S84" i="3"/>
  <c r="Q26" i="3" a="1"/>
  <c r="Q26" i="3" s="1"/>
  <c r="O27" i="3"/>
  <c r="M47" i="3"/>
  <c r="O58" i="3" a="1"/>
  <c r="O65" i="3" a="1"/>
  <c r="O61" i="3" a="1"/>
  <c r="O85" i="3" a="1"/>
  <c r="P78" i="3" a="1"/>
  <c r="P57" i="3" a="1"/>
  <c r="O57" i="3" a="1"/>
  <c r="P55" i="3" a="1"/>
  <c r="P81" i="3" a="1"/>
  <c r="P66" i="3" a="1"/>
  <c r="P76" i="3" a="1"/>
  <c r="P54" i="3" a="1"/>
  <c r="P67" i="3" a="1"/>
  <c r="P70" i="3" a="1"/>
  <c r="P89" i="3" a="1"/>
  <c r="P53" i="3" a="1"/>
  <c r="P87" i="3" a="1"/>
  <c r="O68" i="3" a="1"/>
  <c r="O83" i="3" a="1"/>
  <c r="O89" i="3" a="1"/>
  <c r="O70" i="3" a="1"/>
  <c r="O75" i="3" a="1"/>
  <c r="P63" i="3" a="1"/>
  <c r="P84" i="3" a="1"/>
  <c r="P56" i="3" a="1"/>
  <c r="P86" i="3" a="1"/>
  <c r="O60" i="3" a="1"/>
  <c r="O53" i="3" a="1"/>
  <c r="P68" i="3" a="1"/>
  <c r="O82" i="3" a="1"/>
  <c r="O72" i="3" a="1"/>
  <c r="O52" i="3" a="1"/>
  <c r="P77" i="3" a="1"/>
  <c r="O63" i="3" a="1"/>
  <c r="P91" i="3" a="1"/>
  <c r="P88" i="3" a="1"/>
  <c r="P82" i="3" a="1"/>
  <c r="O84" i="3" a="1"/>
  <c r="P52" i="3" a="1"/>
  <c r="O87" i="3" a="1"/>
  <c r="O81" i="3" a="1"/>
  <c r="P93" i="3" a="1"/>
  <c r="O76" i="3" a="1"/>
  <c r="O93" i="3" a="1"/>
  <c r="P73" i="3" a="1"/>
  <c r="P92" i="3" a="1"/>
  <c r="O73" i="3" a="1"/>
  <c r="P60" i="3" a="1"/>
  <c r="P80" i="3" a="1"/>
  <c r="P65" i="3" a="1"/>
  <c r="P90" i="3" a="1"/>
  <c r="P61" i="3" a="1"/>
  <c r="O67" i="3" a="1"/>
  <c r="O88" i="3" a="1"/>
  <c r="P85" i="3" a="1"/>
  <c r="O90" i="3" a="1"/>
  <c r="O92" i="3" a="1"/>
  <c r="O80" i="3" a="1"/>
  <c r="P59" i="3" a="1"/>
  <c r="O55" i="3" a="1"/>
  <c r="O86" i="3" a="1"/>
  <c r="O79" i="3" a="1"/>
  <c r="P64" i="3" a="1"/>
  <c r="P75" i="3" a="1"/>
  <c r="O78" i="3" a="1"/>
  <c r="O59" i="3" a="1"/>
  <c r="O66" i="3" a="1"/>
  <c r="O91" i="3" a="1"/>
  <c r="O77" i="3" a="1"/>
  <c r="P79" i="3" a="1"/>
  <c r="P58" i="3" a="1"/>
  <c r="O56" i="3" a="1"/>
  <c r="P72" i="3" a="1"/>
  <c r="P62" i="3" a="1"/>
  <c r="O62" i="3" a="1"/>
  <c r="O54" i="3" a="1"/>
  <c r="P69" i="3" a="1"/>
  <c r="P83" i="3" a="1"/>
  <c r="O69" i="3" a="1"/>
  <c r="O64" i="3" a="1"/>
  <c r="L46" i="3" l="1"/>
  <c r="L44" i="3"/>
  <c r="L37" i="3"/>
  <c r="L38" i="3"/>
  <c r="L39" i="3"/>
  <c r="P77" i="3"/>
  <c r="O87" i="3"/>
  <c r="P89" i="3"/>
  <c r="Q89" i="3" s="1"/>
  <c r="O64" i="3"/>
  <c r="P79" i="3"/>
  <c r="Q79" i="3" s="1"/>
  <c r="O66" i="3"/>
  <c r="P61" i="3"/>
  <c r="P70" i="3"/>
  <c r="O62" i="3"/>
  <c r="O77" i="3"/>
  <c r="O57" i="3"/>
  <c r="P52" i="3"/>
  <c r="P87" i="3"/>
  <c r="P55" i="3"/>
  <c r="O89" i="3"/>
  <c r="O60" i="3"/>
  <c r="P64" i="3"/>
  <c r="P67" i="3"/>
  <c r="P75" i="3"/>
  <c r="P90" i="3"/>
  <c r="O53" i="3"/>
  <c r="P66" i="3"/>
  <c r="O63" i="3"/>
  <c r="P65" i="3"/>
  <c r="P73" i="3"/>
  <c r="P58" i="3"/>
  <c r="P54" i="3"/>
  <c r="P80" i="3"/>
  <c r="Q80" i="3" s="1"/>
  <c r="O52" i="3"/>
  <c r="O55" i="3"/>
  <c r="O88" i="3"/>
  <c r="P86" i="3"/>
  <c r="O84" i="3"/>
  <c r="P78" i="3"/>
  <c r="P62" i="3"/>
  <c r="P59" i="3"/>
  <c r="P93" i="3"/>
  <c r="P91" i="3"/>
  <c r="P68" i="3"/>
  <c r="O82" i="3"/>
  <c r="O92" i="3"/>
  <c r="O72" i="3"/>
  <c r="P83" i="3"/>
  <c r="Q83" i="3" s="1"/>
  <c r="O69" i="3"/>
  <c r="O67" i="3"/>
  <c r="O75" i="3"/>
  <c r="O90" i="3"/>
  <c r="P53" i="3"/>
  <c r="P84" i="3"/>
  <c r="Q84" i="3" s="1"/>
  <c r="P63" i="3"/>
  <c r="O65" i="3"/>
  <c r="O73" i="3"/>
  <c r="P76" i="3"/>
  <c r="O54" i="3"/>
  <c r="P57" i="3"/>
  <c r="P60" i="3"/>
  <c r="O85" i="3"/>
  <c r="P56" i="3"/>
  <c r="O81" i="3"/>
  <c r="O58" i="3"/>
  <c r="O80" i="3"/>
  <c r="O59" i="3"/>
  <c r="O93" i="3"/>
  <c r="O91" i="3"/>
  <c r="O68" i="3"/>
  <c r="P82" i="3"/>
  <c r="Q82" i="3" s="1"/>
  <c r="P92" i="3"/>
  <c r="Q92" i="3" s="1"/>
  <c r="P72" i="3"/>
  <c r="O83" i="3"/>
  <c r="P69" i="3"/>
  <c r="P88" i="3"/>
  <c r="P85" i="3"/>
  <c r="Q85" i="3" s="1"/>
  <c r="O79" i="3"/>
  <c r="O86" i="3"/>
  <c r="O56" i="3"/>
  <c r="P81" i="3"/>
  <c r="Q81" i="3" s="1"/>
  <c r="O61" i="3"/>
  <c r="O78" i="3"/>
  <c r="O76" i="3"/>
  <c r="O70" i="3"/>
  <c r="V84" i="3"/>
  <c r="S85" i="3"/>
  <c r="S86" i="3" s="1"/>
  <c r="V86" i="3" s="1"/>
  <c r="L47" i="3"/>
  <c r="Q87" i="3" l="1"/>
  <c r="Q91" i="3"/>
  <c r="Q93" i="3"/>
  <c r="Q88" i="3"/>
  <c r="Q86" i="3"/>
  <c r="Q90" i="3"/>
  <c r="L40" i="3"/>
  <c r="P38" i="3" a="1"/>
  <c r="P38" i="3" s="1"/>
  <c r="O38" i="3" a="1"/>
  <c r="O38" i="3" s="1"/>
  <c r="P45" i="3" a="1"/>
  <c r="O45" i="3" a="1"/>
  <c r="Q38" i="3" l="1"/>
  <c r="O45" i="3"/>
  <c r="O42" i="3" s="1"/>
  <c r="P45" i="3"/>
  <c r="K74" i="3" l="1"/>
  <c r="Q45" i="3"/>
  <c r="L74" i="3" a="1"/>
  <c r="M74" i="3" l="1"/>
  <c r="L74" i="3"/>
  <c r="N74" i="3"/>
  <c r="P74" i="3" a="1"/>
  <c r="O74" i="3" a="1"/>
  <c r="P74" i="3" l="1"/>
  <c r="O74" i="3"/>
  <c r="M37" i="3" a="1"/>
  <c r="P39" i="3"/>
  <c r="P42" i="3" l="1"/>
  <c r="K71" i="3"/>
  <c r="M38" i="3"/>
  <c r="M39" i="3"/>
  <c r="M37" i="3"/>
  <c r="L71" i="3" a="1"/>
  <c r="M40" i="3" l="1"/>
  <c r="M71" i="3"/>
  <c r="L71" i="3"/>
  <c r="N71" i="3"/>
  <c r="P71" i="3" a="1"/>
  <c r="O71" i="3" a="1"/>
  <c r="P71" i="3" l="1"/>
  <c r="O7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Ramirez</author>
    <author>Aldo Mau</author>
  </authors>
  <commentList>
    <comment ref="K16" authorId="0" shapeId="0" xr:uid="{F9C46CBF-05DC-412D-8F24-0EBA668FD004}">
      <text>
        <r>
          <rPr>
            <b/>
            <sz val="9"/>
            <color indexed="81"/>
            <rFont val="Tahoma"/>
            <family val="2"/>
          </rPr>
          <t>Daniel Ramirez:</t>
        </r>
        <r>
          <rPr>
            <sz val="9"/>
            <color indexed="81"/>
            <rFont val="Tahoma"/>
            <family val="2"/>
          </rPr>
          <t xml:space="preserve">
La covarianza mide la variabilidad entre dos pares de rendimientos
La covarinaza te lleva a una correlación</t>
        </r>
      </text>
    </comment>
    <comment ref="K25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Aldo Mau:</t>
        </r>
        <r>
          <rPr>
            <sz val="9"/>
            <color indexed="81"/>
            <rFont val="Tahoma"/>
            <family val="2"/>
          </rPr>
          <t xml:space="preserve">
Este número de títulos a adquirir para cada activo dependerá de la elección del inversionista (perfil de riesgo).</t>
        </r>
      </text>
    </comment>
    <comment ref="K26" authorId="0" shapeId="0" xr:uid="{160D6108-9F05-41F6-965E-3D67EE420AFB}">
      <text>
        <r>
          <rPr>
            <b/>
            <sz val="9"/>
            <color indexed="81"/>
            <rFont val="Tahoma"/>
            <family val="2"/>
          </rPr>
          <t>Daniel Ramirez:</t>
        </r>
        <r>
          <rPr>
            <sz val="9"/>
            <color indexed="81"/>
            <rFont val="Tahoma"/>
            <family val="2"/>
          </rPr>
          <t xml:space="preserve">
Formula 4
</t>
        </r>
      </text>
    </comment>
    <comment ref="O26" authorId="0" shapeId="0" xr:uid="{D06019A1-E120-442A-A2FB-96E81746673F}">
      <text>
        <r>
          <rPr>
            <b/>
            <sz val="9"/>
            <color indexed="81"/>
            <rFont val="Tahoma"/>
            <family val="2"/>
          </rPr>
          <t>Daniel Ramirez:</t>
        </r>
        <r>
          <rPr>
            <sz val="9"/>
            <color indexed="81"/>
            <rFont val="Tahoma"/>
            <family val="2"/>
          </rPr>
          <t xml:space="preserve">
Formula 3</t>
        </r>
      </text>
    </comment>
    <comment ref="O27" authorId="0" shapeId="0" xr:uid="{FAD02645-9AFB-4CC9-8EBE-F9F655D1D5AE}">
      <text>
        <r>
          <rPr>
            <b/>
            <sz val="9"/>
            <color indexed="81"/>
            <rFont val="Tahoma"/>
            <family val="2"/>
          </rPr>
          <t>Daniel Ramirez:</t>
        </r>
        <r>
          <rPr>
            <sz val="9"/>
            <color indexed="81"/>
            <rFont val="Tahoma"/>
            <family val="2"/>
          </rPr>
          <t xml:space="preserve">
La suma siempre tiene que dar el 100%
Pues garantizas que todo el portafolio esta totalmente invertido</t>
        </r>
      </text>
    </comment>
    <comment ref="L37" authorId="0" shapeId="0" xr:uid="{029289D5-2D26-4659-BDC4-45988155D2A7}">
      <text>
        <r>
          <rPr>
            <b/>
            <sz val="9"/>
            <color indexed="81"/>
            <rFont val="Tahoma"/>
            <family val="2"/>
          </rPr>
          <t>Daniel Ramirez:</t>
        </r>
        <r>
          <rPr>
            <sz val="9"/>
            <color indexed="81"/>
            <rFont val="Tahoma"/>
            <family val="2"/>
          </rPr>
          <t xml:space="preserve">
W* optimo de mínimo riesgo</t>
        </r>
      </text>
    </comment>
    <comment ref="K38" authorId="0" shapeId="0" xr:uid="{EE044FF5-A2E3-42A1-BFDD-7110F53E1CBF}">
      <text>
        <r>
          <rPr>
            <b/>
            <sz val="9"/>
            <color indexed="81"/>
            <rFont val="Tahoma"/>
            <family val="2"/>
          </rPr>
          <t>Daniel Ramirez:</t>
        </r>
        <r>
          <rPr>
            <sz val="9"/>
            <color indexed="81"/>
            <rFont val="Tahoma"/>
            <family val="2"/>
          </rPr>
          <t xml:space="preserve">
Portafolio de mínimo riesgo
</t>
        </r>
      </text>
    </comment>
    <comment ref="L44" authorId="0" shapeId="0" xr:uid="{23C7B859-2F17-4BC8-BADE-BAB7951099E2}">
      <text>
        <r>
          <rPr>
            <b/>
            <sz val="9"/>
            <color indexed="81"/>
            <rFont val="Tahoma"/>
            <family val="2"/>
          </rPr>
          <t>Daniel Ramirez:</t>
        </r>
        <r>
          <rPr>
            <sz val="9"/>
            <color indexed="81"/>
            <rFont val="Tahoma"/>
            <family val="2"/>
          </rPr>
          <t xml:space="preserve">
Eso es el W* es decir el W optimo de máximo sharpe ratio</t>
        </r>
      </text>
    </comment>
    <comment ref="K51" authorId="0" shapeId="0" xr:uid="{16FD9203-547F-4C04-BDBD-F12E31888B02}">
      <text>
        <r>
          <rPr>
            <b/>
            <sz val="9"/>
            <color indexed="81"/>
            <rFont val="Tahoma"/>
            <family val="2"/>
          </rPr>
          <t>Daniel Ramirez:</t>
        </r>
        <r>
          <rPr>
            <sz val="9"/>
            <color indexed="81"/>
            <rFont val="Tahoma"/>
            <family val="2"/>
          </rPr>
          <t xml:space="preserve">
Genero mis distintos escenarios de rendimientos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<sst xmlns="http://schemas.openxmlformats.org/spreadsheetml/2006/main" count="113" uniqueCount="77">
  <si>
    <t>R</t>
  </si>
  <si>
    <t>Precio hoy</t>
  </si>
  <si>
    <t>Escenarios P para mañana</t>
  </si>
  <si>
    <t>Volatilidad del precio</t>
  </si>
  <si>
    <t>Límite inferior de rendimiento</t>
  </si>
  <si>
    <t>Límite superior de rendimiento</t>
  </si>
  <si>
    <t>r</t>
  </si>
  <si>
    <t>s</t>
  </si>
  <si>
    <t>Estimadores a un día</t>
  </si>
  <si>
    <t>Estimadores a un año</t>
  </si>
  <si>
    <t>Volume</t>
  </si>
  <si>
    <t>Adj Close</t>
  </si>
  <si>
    <t>Close</t>
  </si>
  <si>
    <t>Low</t>
  </si>
  <si>
    <t>High</t>
  </si>
  <si>
    <t>Open</t>
  </si>
  <si>
    <t>Date</t>
  </si>
  <si>
    <t>Cotizaciones P</t>
  </si>
  <si>
    <t>Rendimiento R</t>
  </si>
  <si>
    <t>P</t>
  </si>
  <si>
    <t>Precio Hoy</t>
  </si>
  <si>
    <r>
      <t>A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</si>
  <si>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</si>
  <si>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</si>
  <si>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</si>
  <si>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</si>
  <si>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</si>
  <si>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t>Matriz de covarianzas anuales entre los redimientos</t>
  </si>
  <si>
    <t>Ejemplo</t>
  </si>
  <si>
    <r>
      <t>N</t>
    </r>
    <r>
      <rPr>
        <b/>
        <vertAlign val="subscript"/>
        <sz val="11"/>
        <color theme="1"/>
        <rFont val="Calibri"/>
        <family val="2"/>
        <scheme val="minor"/>
      </rPr>
      <t>k</t>
    </r>
  </si>
  <si>
    <t>Inversión</t>
  </si>
  <si>
    <r>
      <t>w</t>
    </r>
    <r>
      <rPr>
        <b/>
        <vertAlign val="subscript"/>
        <sz val="11"/>
        <color theme="1"/>
        <rFont val="Calibri"/>
        <family val="2"/>
        <scheme val="minor"/>
      </rPr>
      <t>k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</si>
  <si>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P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</si>
  <si>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P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</si>
  <si>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k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</si>
  <si>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perscript"/>
        <sz val="11"/>
        <color theme="1"/>
        <rFont val="Calibri"/>
        <family val="2"/>
      </rPr>
      <t>2</t>
    </r>
    <r>
      <rPr>
        <b/>
        <vertAlign val="subscript"/>
        <sz val="11"/>
        <color theme="1"/>
        <rFont val="Calibri"/>
        <family val="2"/>
        <scheme val="minor"/>
      </rPr>
      <t>k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</si>
  <si>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k</t>
    </r>
  </si>
  <si>
    <t>V=</t>
  </si>
  <si>
    <r>
      <t>V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vertAlign val="subscript"/>
        <sz val="11"/>
        <color theme="1"/>
        <rFont val="Calibri"/>
        <family val="2"/>
        <scheme val="minor"/>
      </rPr>
      <t>=</t>
    </r>
  </si>
  <si>
    <r>
      <t>Portafolio mínimo riesgo P</t>
    </r>
    <r>
      <rPr>
        <b/>
        <vertAlign val="subscript"/>
        <sz val="11"/>
        <color theme="1"/>
        <rFont val="Calibri"/>
        <family val="2"/>
        <scheme val="minor"/>
      </rPr>
      <t>m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</si>
  <si>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m</t>
    </r>
    <r>
      <rPr>
        <b/>
        <sz val="11"/>
        <color theme="1"/>
        <rFont val="Calibri"/>
        <family val="2"/>
        <scheme val="minor"/>
      </rPr>
      <t>=</t>
    </r>
  </si>
  <si>
    <t>1=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</si>
  <si>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Pm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</si>
  <si>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Pm</t>
    </r>
  </si>
  <si>
    <r>
      <rPr>
        <b/>
        <sz val="11"/>
        <color theme="1"/>
        <rFont val="Symbol"/>
        <family val="1"/>
        <charset val="2"/>
      </rPr>
      <t>m</t>
    </r>
    <r>
      <rPr>
        <b/>
        <sz val="13.2"/>
        <color theme="1"/>
        <rFont val="Calibri"/>
        <family val="2"/>
      </rPr>
      <t>=</t>
    </r>
  </si>
  <si>
    <r>
      <t>m</t>
    </r>
    <r>
      <rPr>
        <vertAlign val="subscript"/>
        <sz val="11"/>
        <color theme="1"/>
        <rFont val="Calibri"/>
        <family val="2"/>
        <scheme val="minor"/>
      </rPr>
      <t>k</t>
    </r>
  </si>
  <si>
    <r>
      <t>Portafolio Máximo Cociente Sharpe P</t>
    </r>
    <r>
      <rPr>
        <b/>
        <vertAlign val="subscript"/>
        <sz val="11"/>
        <color theme="1"/>
        <rFont val="Symbol"/>
        <family val="1"/>
        <charset val="2"/>
      </rPr>
      <t>m</t>
    </r>
  </si>
  <si>
    <r>
      <t>P</t>
    </r>
    <r>
      <rPr>
        <vertAlign val="subscript"/>
        <sz val="11"/>
        <color theme="1"/>
        <rFont val="Symbol"/>
        <family val="1"/>
        <charset val="2"/>
      </rPr>
      <t>m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</si>
  <si>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Symbol"/>
        <family val="1"/>
        <charset val="2"/>
      </rPr>
      <t>m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</si>
  <si>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Symbol"/>
        <family val="1"/>
        <charset val="2"/>
      </rPr>
      <t>m</t>
    </r>
  </si>
  <si>
    <r>
      <t>m</t>
    </r>
    <r>
      <rPr>
        <b/>
        <vertAlign val="subscript"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Symbol"/>
        <family val="1"/>
        <charset val="2"/>
      </rPr>
      <t>m</t>
    </r>
  </si>
  <si>
    <r>
      <t>m</t>
    </r>
    <r>
      <rPr>
        <b/>
        <vertAlign val="subscript"/>
        <sz val="11"/>
        <color theme="1"/>
        <rFont val="Calibri"/>
        <family val="2"/>
        <scheme val="minor"/>
      </rPr>
      <t>Pm</t>
    </r>
  </si>
  <si>
    <t>Frontera Eficiente</t>
  </si>
  <si>
    <t>w1</t>
  </si>
  <si>
    <t>w2</t>
  </si>
  <si>
    <t>w3</t>
  </si>
  <si>
    <t>Capital</t>
  </si>
  <si>
    <t>Inversión neta</t>
  </si>
  <si>
    <t>Total</t>
  </si>
  <si>
    <t>Nk (títulos)</t>
  </si>
  <si>
    <t>IPC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</si>
  <si>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m</t>
    </r>
  </si>
  <si>
    <t>IPC (m)</t>
  </si>
  <si>
    <t>v.a R</t>
  </si>
  <si>
    <t>Posibles
escenarios</t>
  </si>
  <si>
    <t>vector histórico de precios</t>
  </si>
  <si>
    <t>Precio promedio (esperado)
E[Rt]</t>
  </si>
  <si>
    <t>Variabilidad del precio
Var[Rt]</t>
  </si>
  <si>
    <t>Cae dentro de nuestro Int de confianza</t>
  </si>
  <si>
    <t>Precio esperado de mañana</t>
  </si>
  <si>
    <t>Cuanto le ganas o pierdes en un día</t>
  </si>
  <si>
    <t>Aplicamos LN pues es un modelo continuo</t>
  </si>
  <si>
    <t>Riesgo del instrumento</t>
  </si>
  <si>
    <t>Debemos escoger activos con rendimientos esperados positivos pues así lo forzamos a ganar</t>
  </si>
  <si>
    <t>Estimadores anuales Portafolio</t>
  </si>
  <si>
    <t>Matriz de covarianzas inversa anuales entre los redimientos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</si>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</sst>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"/>
    <numFmt numFmtId="165" formatCode="0.000%"/>
    <numFmt numFmtId="166" formatCode="0.0000%"/>
    <numFmt numFmtId="167" formatCode="0.00000"/>
    <numFmt numFmtId="168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3.2"/>
      <color theme="1"/>
      <name val="Calibri"/>
      <family val="2"/>
    </font>
    <font>
      <vertAlign val="subscript"/>
      <sz val="11"/>
      <color theme="1"/>
      <name val="Symbol"/>
      <family val="1"/>
      <charset val="2"/>
    </font>
    <font>
      <b/>
      <vertAlign val="subscript"/>
      <sz val="11"/>
      <color theme="1"/>
      <name val="Symbol"/>
      <family val="1"/>
      <charset val="2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166" fontId="0" fillId="0" borderId="0" xfId="1" applyNumberFormat="1" applyFont="1" applyAlignment="1">
      <alignment horizontal="center"/>
    </xf>
    <xf numFmtId="164" fontId="0" fillId="0" borderId="0" xfId="0" applyNumberFormat="1"/>
    <xf numFmtId="164" fontId="0" fillId="4" borderId="0" xfId="0" applyNumberFormat="1" applyFill="1" applyAlignment="1">
      <alignment horizontal="center"/>
    </xf>
    <xf numFmtId="0" fontId="2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/>
    </xf>
    <xf numFmtId="164" fontId="0" fillId="3" borderId="0" xfId="0" applyNumberFormat="1" applyFill="1"/>
    <xf numFmtId="0" fontId="2" fillId="0" borderId="0" xfId="0" applyFont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166" fontId="0" fillId="0" borderId="5" xfId="0" applyNumberFormat="1" applyBorder="1" applyAlignment="1">
      <alignment horizontal="center"/>
    </xf>
    <xf numFmtId="165" fontId="0" fillId="0" borderId="6" xfId="1" applyNumberFormat="1" applyFont="1" applyBorder="1" applyAlignment="1">
      <alignment horizontal="center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10" fontId="0" fillId="0" borderId="5" xfId="1" applyNumberFormat="1" applyFont="1" applyBorder="1" applyAlignment="1">
      <alignment horizontal="center"/>
    </xf>
    <xf numFmtId="10" fontId="0" fillId="0" borderId="6" xfId="1" applyNumberFormat="1" applyFont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0" fontId="2" fillId="0" borderId="0" xfId="0" applyFont="1"/>
    <xf numFmtId="0" fontId="2" fillId="0" borderId="7" xfId="0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0" fontId="5" fillId="0" borderId="0" xfId="0" applyFont="1" applyAlignment="1">
      <alignment horizontal="center"/>
    </xf>
    <xf numFmtId="167" fontId="0" fillId="0" borderId="3" xfId="0" applyNumberFormat="1" applyBorder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4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2" fillId="0" borderId="12" xfId="0" applyFont="1" applyBorder="1" applyAlignment="1">
      <alignment horizontal="center"/>
    </xf>
    <xf numFmtId="165" fontId="0" fillId="0" borderId="12" xfId="1" applyNumberFormat="1" applyFon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3" fontId="0" fillId="4" borderId="0" xfId="0" applyNumberFormat="1" applyFill="1" applyAlignment="1">
      <alignment horizontal="center"/>
    </xf>
    <xf numFmtId="10" fontId="0" fillId="0" borderId="0" xfId="0" applyNumberFormat="1" applyAlignment="1">
      <alignment horizontal="center"/>
    </xf>
    <xf numFmtId="10" fontId="0" fillId="5" borderId="0" xfId="1" applyNumberFormat="1" applyFont="1" applyFill="1" applyAlignment="1">
      <alignment horizontal="center"/>
    </xf>
    <xf numFmtId="9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0" fontId="0" fillId="0" borderId="13" xfId="1" applyNumberFormat="1" applyFont="1" applyBorder="1" applyAlignment="1">
      <alignment horizontal="center"/>
    </xf>
    <xf numFmtId="10" fontId="0" fillId="0" borderId="14" xfId="1" applyNumberFormat="1" applyFont="1" applyBorder="1" applyAlignment="1">
      <alignment horizontal="center"/>
    </xf>
    <xf numFmtId="10" fontId="0" fillId="0" borderId="15" xfId="1" applyNumberFormat="1" applyFont="1" applyBorder="1" applyAlignment="1">
      <alignment horizontal="center"/>
    </xf>
    <xf numFmtId="0" fontId="11" fillId="0" borderId="0" xfId="0" applyFont="1" applyAlignment="1">
      <alignment horizontal="center"/>
    </xf>
    <xf numFmtId="10" fontId="0" fillId="0" borderId="0" xfId="1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2" xfId="0" applyNumberFormat="1" applyBorder="1" applyAlignment="1">
      <alignment horizontal="center"/>
    </xf>
    <xf numFmtId="168" fontId="0" fillId="0" borderId="3" xfId="1" applyNumberFormat="1" applyFont="1" applyBorder="1" applyAlignment="1">
      <alignment horizontal="center"/>
    </xf>
    <xf numFmtId="168" fontId="0" fillId="0" borderId="0" xfId="1" applyNumberFormat="1" applyFont="1" applyBorder="1" applyAlignment="1">
      <alignment horizontal="center"/>
    </xf>
    <xf numFmtId="168" fontId="0" fillId="0" borderId="4" xfId="1" applyNumberFormat="1" applyFont="1" applyBorder="1" applyAlignment="1">
      <alignment horizontal="center"/>
    </xf>
    <xf numFmtId="168" fontId="0" fillId="0" borderId="5" xfId="1" applyNumberFormat="1" applyFont="1" applyBorder="1" applyAlignment="1">
      <alignment horizontal="center"/>
    </xf>
    <xf numFmtId="168" fontId="0" fillId="0" borderId="8" xfId="1" applyNumberFormat="1" applyFont="1" applyBorder="1" applyAlignment="1">
      <alignment horizontal="center"/>
    </xf>
    <xf numFmtId="168" fontId="0" fillId="0" borderId="6" xfId="1" applyNumberFormat="1" applyFont="1" applyBorder="1" applyAlignment="1">
      <alignment horizontal="center"/>
    </xf>
    <xf numFmtId="10" fontId="0" fillId="7" borderId="0" xfId="0" applyNumberFormat="1" applyFill="1" applyAlignment="1">
      <alignment horizontal="center"/>
    </xf>
    <xf numFmtId="168" fontId="0" fillId="7" borderId="3" xfId="1" applyNumberFormat="1" applyFont="1" applyFill="1" applyBorder="1" applyAlignment="1">
      <alignment horizontal="center"/>
    </xf>
    <xf numFmtId="168" fontId="0" fillId="7" borderId="0" xfId="1" applyNumberFormat="1" applyFont="1" applyFill="1" applyBorder="1" applyAlignment="1">
      <alignment horizontal="center"/>
    </xf>
    <xf numFmtId="168" fontId="0" fillId="7" borderId="4" xfId="1" applyNumberFormat="1" applyFont="1" applyFill="1" applyBorder="1" applyAlignment="1">
      <alignment horizontal="center"/>
    </xf>
    <xf numFmtId="10" fontId="0" fillId="7" borderId="0" xfId="1" applyNumberFormat="1" applyFont="1" applyFill="1" applyAlignment="1">
      <alignment horizontal="center"/>
    </xf>
    <xf numFmtId="164" fontId="0" fillId="0" borderId="12" xfId="0" applyNumberFormat="1" applyBorder="1"/>
    <xf numFmtId="165" fontId="0" fillId="0" borderId="0" xfId="1" applyNumberFormat="1" applyFont="1" applyAlignment="1">
      <alignment horizontal="center"/>
    </xf>
    <xf numFmtId="10" fontId="0" fillId="2" borderId="0" xfId="1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165" fontId="0" fillId="0" borderId="0" xfId="1" applyNumberFormat="1" applyFont="1" applyBorder="1" applyAlignment="1">
      <alignment horizontal="center"/>
    </xf>
    <xf numFmtId="0" fontId="2" fillId="8" borderId="9" xfId="0" applyFont="1" applyFill="1" applyBorder="1" applyAlignment="1">
      <alignment horizontal="center" vertical="center" wrapText="1"/>
    </xf>
    <xf numFmtId="0" fontId="2" fillId="8" borderId="11" xfId="0" applyFont="1" applyFill="1" applyBorder="1" applyAlignment="1">
      <alignment horizontal="center" vertical="center" wrapText="1"/>
    </xf>
    <xf numFmtId="0" fontId="15" fillId="3" borderId="1" xfId="0" applyFont="1" applyFill="1" applyBorder="1"/>
    <xf numFmtId="0" fontId="0" fillId="3" borderId="7" xfId="0" applyFill="1" applyBorder="1"/>
    <xf numFmtId="0" fontId="0" fillId="3" borderId="2" xfId="0" applyFill="1" applyBorder="1"/>
    <xf numFmtId="0" fontId="15" fillId="3" borderId="5" xfId="0" applyFont="1" applyFill="1" applyBorder="1"/>
    <xf numFmtId="0" fontId="0" fillId="3" borderId="8" xfId="0" applyFill="1" applyBorder="1"/>
    <xf numFmtId="0" fontId="0" fillId="3" borderId="6" xfId="0" applyFill="1" applyBorder="1"/>
    <xf numFmtId="0" fontId="15" fillId="2" borderId="9" xfId="0" applyFont="1" applyFill="1" applyBorder="1"/>
    <xf numFmtId="0" fontId="0" fillId="2" borderId="10" xfId="0" applyFill="1" applyBorder="1"/>
    <xf numFmtId="0" fontId="0" fillId="2" borderId="11" xfId="0" applyFill="1" applyBorder="1"/>
    <xf numFmtId="10" fontId="0" fillId="10" borderId="0" xfId="1" applyNumberFormat="1" applyFont="1" applyFill="1" applyAlignment="1">
      <alignment horizontal="center"/>
    </xf>
    <xf numFmtId="167" fontId="0" fillId="10" borderId="1" xfId="0" applyNumberFormat="1" applyFill="1" applyBorder="1" applyAlignment="1">
      <alignment horizontal="center"/>
    </xf>
    <xf numFmtId="167" fontId="0" fillId="10" borderId="0" xfId="0" applyNumberFormat="1" applyFill="1" applyAlignment="1">
      <alignment horizontal="center"/>
    </xf>
    <xf numFmtId="167" fontId="0" fillId="10" borderId="6" xfId="0" applyNumberForma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10" fontId="0" fillId="2" borderId="6" xfId="1" applyNumberFormat="1" applyFont="1" applyFill="1" applyBorder="1" applyAlignment="1">
      <alignment horizontal="center"/>
    </xf>
    <xf numFmtId="0" fontId="2" fillId="2" borderId="9" xfId="0" applyFont="1" applyFill="1" applyBorder="1" applyAlignment="1">
      <alignment horizontal="left"/>
    </xf>
    <xf numFmtId="0" fontId="15" fillId="0" borderId="0" xfId="0" applyFont="1" applyAlignment="1">
      <alignment horizontal="center" vertical="center"/>
    </xf>
    <xf numFmtId="0" fontId="2" fillId="11" borderId="9" xfId="0" applyFont="1" applyFill="1" applyBorder="1"/>
    <xf numFmtId="0" fontId="0" fillId="11" borderId="10" xfId="0" applyFill="1" applyBorder="1"/>
    <xf numFmtId="0" fontId="0" fillId="11" borderId="11" xfId="0" applyFill="1" applyBorder="1"/>
    <xf numFmtId="0" fontId="2" fillId="11" borderId="1" xfId="0" applyFont="1" applyFill="1" applyBorder="1" applyAlignment="1">
      <alignment horizontal="center"/>
    </xf>
    <xf numFmtId="0" fontId="2" fillId="11" borderId="7" xfId="0" applyFont="1" applyFill="1" applyBorder="1" applyAlignment="1">
      <alignment horizontal="center"/>
    </xf>
    <xf numFmtId="10" fontId="0" fillId="11" borderId="5" xfId="1" applyNumberFormat="1" applyFont="1" applyFill="1" applyBorder="1" applyAlignment="1">
      <alignment horizontal="center"/>
    </xf>
    <xf numFmtId="10" fontId="0" fillId="11" borderId="8" xfId="1" applyNumberFormat="1" applyFont="1" applyFill="1" applyBorder="1" applyAlignment="1">
      <alignment horizontal="center"/>
    </xf>
    <xf numFmtId="2" fontId="0" fillId="11" borderId="6" xfId="0" applyNumberFormat="1" applyFill="1" applyBorder="1" applyAlignment="1">
      <alignment horizontal="center"/>
    </xf>
    <xf numFmtId="0" fontId="2" fillId="6" borderId="9" xfId="0" applyFont="1" applyFill="1" applyBorder="1"/>
    <xf numFmtId="0" fontId="0" fillId="6" borderId="10" xfId="0" applyFill="1" applyBorder="1"/>
    <xf numFmtId="0" fontId="0" fillId="6" borderId="11" xfId="0" applyFill="1" applyBorder="1"/>
    <xf numFmtId="10" fontId="0" fillId="11" borderId="9" xfId="0" applyNumberFormat="1" applyFill="1" applyBorder="1" applyAlignment="1">
      <alignment horizontal="center"/>
    </xf>
    <xf numFmtId="168" fontId="0" fillId="11" borderId="9" xfId="1" applyNumberFormat="1" applyFont="1" applyFill="1" applyBorder="1" applyAlignment="1">
      <alignment horizontal="center"/>
    </xf>
    <xf numFmtId="168" fontId="0" fillId="11" borderId="10" xfId="1" applyNumberFormat="1" applyFont="1" applyFill="1" applyBorder="1" applyAlignment="1">
      <alignment horizontal="center"/>
    </xf>
    <xf numFmtId="168" fontId="0" fillId="11" borderId="11" xfId="1" applyNumberFormat="1" applyFont="1" applyFill="1" applyBorder="1" applyAlignment="1">
      <alignment horizontal="center"/>
    </xf>
    <xf numFmtId="10" fontId="0" fillId="11" borderId="10" xfId="1" applyNumberFormat="1" applyFont="1" applyFill="1" applyBorder="1" applyAlignment="1">
      <alignment horizontal="center"/>
    </xf>
    <xf numFmtId="10" fontId="0" fillId="11" borderId="11" xfId="1" applyNumberFormat="1" applyFont="1" applyFill="1" applyBorder="1" applyAlignment="1">
      <alignment horizontal="center"/>
    </xf>
    <xf numFmtId="10" fontId="16" fillId="2" borderId="9" xfId="0" applyNumberFormat="1" applyFont="1" applyFill="1" applyBorder="1" applyAlignment="1">
      <alignment horizontal="center"/>
    </xf>
    <xf numFmtId="168" fontId="16" fillId="2" borderId="9" xfId="1" applyNumberFormat="1" applyFont="1" applyFill="1" applyBorder="1" applyAlignment="1">
      <alignment horizontal="center"/>
    </xf>
    <xf numFmtId="168" fontId="16" fillId="2" borderId="10" xfId="1" applyNumberFormat="1" applyFont="1" applyFill="1" applyBorder="1" applyAlignment="1">
      <alignment horizontal="center"/>
    </xf>
    <xf numFmtId="168" fontId="16" fillId="2" borderId="11" xfId="1" applyNumberFormat="1" applyFont="1" applyFill="1" applyBorder="1" applyAlignment="1">
      <alignment horizontal="center"/>
    </xf>
    <xf numFmtId="10" fontId="16" fillId="2" borderId="10" xfId="1" applyNumberFormat="1" applyFont="1" applyFill="1" applyBorder="1" applyAlignment="1">
      <alignment horizontal="center"/>
    </xf>
    <xf numFmtId="10" fontId="16" fillId="2" borderId="11" xfId="1" applyNumberFormat="1" applyFont="1" applyFill="1" applyBorder="1" applyAlignment="1">
      <alignment horizontal="center"/>
    </xf>
    <xf numFmtId="0" fontId="0" fillId="0" borderId="6" xfId="0" applyBorder="1"/>
    <xf numFmtId="10" fontId="0" fillId="0" borderId="0" xfId="0" applyNumberFormat="1"/>
    <xf numFmtId="0" fontId="17" fillId="0" borderId="0" xfId="0" applyFont="1" applyAlignment="1">
      <alignment horizontal="center"/>
    </xf>
    <xf numFmtId="164" fontId="17" fillId="0" borderId="0" xfId="0" applyNumberFormat="1" applyFont="1"/>
    <xf numFmtId="0" fontId="17" fillId="0" borderId="0" xfId="0" applyFont="1"/>
    <xf numFmtId="2" fontId="0" fillId="0" borderId="0" xfId="0" applyNumberFormat="1"/>
    <xf numFmtId="2" fontId="2" fillId="0" borderId="0" xfId="0" applyNumberFormat="1" applyFont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2" fontId="0" fillId="2" borderId="5" xfId="1" applyNumberFormat="1" applyFont="1" applyFill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2" fillId="0" borderId="12" xfId="0" applyNumberFormat="1" applyFont="1" applyBorder="1" applyAlignment="1">
      <alignment horizontal="center"/>
    </xf>
    <xf numFmtId="2" fontId="2" fillId="11" borderId="2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2" borderId="9" xfId="0" applyFont="1" applyFill="1" applyBorder="1" applyAlignment="1">
      <alignment horizontal="center"/>
    </xf>
    <xf numFmtId="0" fontId="15" fillId="2" borderId="10" xfId="0" applyFont="1" applyFill="1" applyBorder="1" applyAlignment="1">
      <alignment horizontal="center"/>
    </xf>
    <xf numFmtId="0" fontId="15" fillId="2" borderId="11" xfId="0" applyFont="1" applyFill="1" applyBorder="1" applyAlignment="1">
      <alignment horizontal="center"/>
    </xf>
    <xf numFmtId="165" fontId="0" fillId="2" borderId="9" xfId="1" applyNumberFormat="1" applyFont="1" applyFill="1" applyBorder="1" applyAlignment="1">
      <alignment horizontal="center"/>
    </xf>
    <xf numFmtId="165" fontId="0" fillId="2" borderId="10" xfId="1" applyNumberFormat="1" applyFont="1" applyFill="1" applyBorder="1" applyAlignment="1">
      <alignment horizontal="center"/>
    </xf>
    <xf numFmtId="165" fontId="0" fillId="2" borderId="11" xfId="1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5" fillId="9" borderId="0" xfId="0" applyFont="1" applyFill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Activo1!$A$2:$A$670</c:f>
              <c:numCache>
                <c:formatCode>m/d/yyyy</c:formatCode>
                <c:ptCount val="669"/>
                <c:pt idx="0">
                  <c:v>44496</c:v>
                </c:pt>
                <c:pt idx="1">
                  <c:v>44497</c:v>
                </c:pt>
                <c:pt idx="2">
                  <c:v>44498</c:v>
                </c:pt>
                <c:pt idx="3">
                  <c:v>44501</c:v>
                </c:pt>
                <c:pt idx="4">
                  <c:v>44503</c:v>
                </c:pt>
                <c:pt idx="5">
                  <c:v>44504</c:v>
                </c:pt>
                <c:pt idx="6">
                  <c:v>44505</c:v>
                </c:pt>
                <c:pt idx="7">
                  <c:v>44508</c:v>
                </c:pt>
                <c:pt idx="8">
                  <c:v>44509</c:v>
                </c:pt>
                <c:pt idx="9">
                  <c:v>44510</c:v>
                </c:pt>
                <c:pt idx="10">
                  <c:v>44511</c:v>
                </c:pt>
                <c:pt idx="11">
                  <c:v>44512</c:v>
                </c:pt>
                <c:pt idx="12">
                  <c:v>44516</c:v>
                </c:pt>
                <c:pt idx="13">
                  <c:v>44517</c:v>
                </c:pt>
                <c:pt idx="14">
                  <c:v>44518</c:v>
                </c:pt>
                <c:pt idx="15">
                  <c:v>44519</c:v>
                </c:pt>
                <c:pt idx="16">
                  <c:v>44522</c:v>
                </c:pt>
                <c:pt idx="17">
                  <c:v>44523</c:v>
                </c:pt>
                <c:pt idx="18">
                  <c:v>44524</c:v>
                </c:pt>
                <c:pt idx="19">
                  <c:v>44525</c:v>
                </c:pt>
                <c:pt idx="20">
                  <c:v>44526</c:v>
                </c:pt>
                <c:pt idx="21">
                  <c:v>44529</c:v>
                </c:pt>
                <c:pt idx="22">
                  <c:v>44530</c:v>
                </c:pt>
                <c:pt idx="23">
                  <c:v>44531</c:v>
                </c:pt>
                <c:pt idx="24">
                  <c:v>44532</c:v>
                </c:pt>
                <c:pt idx="25">
                  <c:v>44533</c:v>
                </c:pt>
                <c:pt idx="26">
                  <c:v>44536</c:v>
                </c:pt>
                <c:pt idx="27">
                  <c:v>44537</c:v>
                </c:pt>
                <c:pt idx="28">
                  <c:v>44538</c:v>
                </c:pt>
                <c:pt idx="29">
                  <c:v>44539</c:v>
                </c:pt>
                <c:pt idx="30">
                  <c:v>44540</c:v>
                </c:pt>
                <c:pt idx="31">
                  <c:v>44543</c:v>
                </c:pt>
                <c:pt idx="32">
                  <c:v>44544</c:v>
                </c:pt>
                <c:pt idx="33">
                  <c:v>44545</c:v>
                </c:pt>
                <c:pt idx="34">
                  <c:v>44546</c:v>
                </c:pt>
                <c:pt idx="35">
                  <c:v>44547</c:v>
                </c:pt>
                <c:pt idx="36">
                  <c:v>44550</c:v>
                </c:pt>
                <c:pt idx="37">
                  <c:v>44551</c:v>
                </c:pt>
                <c:pt idx="38">
                  <c:v>44552</c:v>
                </c:pt>
                <c:pt idx="39">
                  <c:v>44553</c:v>
                </c:pt>
                <c:pt idx="40">
                  <c:v>44554</c:v>
                </c:pt>
                <c:pt idx="41">
                  <c:v>44557</c:v>
                </c:pt>
                <c:pt idx="42">
                  <c:v>44558</c:v>
                </c:pt>
                <c:pt idx="43">
                  <c:v>44559</c:v>
                </c:pt>
                <c:pt idx="44">
                  <c:v>44560</c:v>
                </c:pt>
                <c:pt idx="45">
                  <c:v>44561</c:v>
                </c:pt>
                <c:pt idx="46">
                  <c:v>44564</c:v>
                </c:pt>
                <c:pt idx="47">
                  <c:v>44565</c:v>
                </c:pt>
                <c:pt idx="48">
                  <c:v>44566</c:v>
                </c:pt>
                <c:pt idx="49">
                  <c:v>44567</c:v>
                </c:pt>
                <c:pt idx="50">
                  <c:v>44568</c:v>
                </c:pt>
                <c:pt idx="51">
                  <c:v>44571</c:v>
                </c:pt>
                <c:pt idx="52">
                  <c:v>44572</c:v>
                </c:pt>
                <c:pt idx="53">
                  <c:v>44573</c:v>
                </c:pt>
                <c:pt idx="54">
                  <c:v>44574</c:v>
                </c:pt>
                <c:pt idx="55">
                  <c:v>44575</c:v>
                </c:pt>
                <c:pt idx="56">
                  <c:v>44578</c:v>
                </c:pt>
                <c:pt idx="57">
                  <c:v>44579</c:v>
                </c:pt>
                <c:pt idx="58">
                  <c:v>44580</c:v>
                </c:pt>
                <c:pt idx="59">
                  <c:v>44581</c:v>
                </c:pt>
                <c:pt idx="60">
                  <c:v>44582</c:v>
                </c:pt>
                <c:pt idx="61">
                  <c:v>44585</c:v>
                </c:pt>
                <c:pt idx="62">
                  <c:v>44586</c:v>
                </c:pt>
                <c:pt idx="63">
                  <c:v>44587</c:v>
                </c:pt>
                <c:pt idx="64">
                  <c:v>44588</c:v>
                </c:pt>
                <c:pt idx="65">
                  <c:v>44589</c:v>
                </c:pt>
                <c:pt idx="66">
                  <c:v>44592</c:v>
                </c:pt>
                <c:pt idx="67">
                  <c:v>44593</c:v>
                </c:pt>
                <c:pt idx="68">
                  <c:v>44594</c:v>
                </c:pt>
                <c:pt idx="69">
                  <c:v>44595</c:v>
                </c:pt>
                <c:pt idx="70">
                  <c:v>44596</c:v>
                </c:pt>
                <c:pt idx="71">
                  <c:v>44600</c:v>
                </c:pt>
                <c:pt idx="72">
                  <c:v>44601</c:v>
                </c:pt>
                <c:pt idx="73">
                  <c:v>44602</c:v>
                </c:pt>
                <c:pt idx="74">
                  <c:v>44603</c:v>
                </c:pt>
                <c:pt idx="75">
                  <c:v>44606</c:v>
                </c:pt>
                <c:pt idx="76">
                  <c:v>44607</c:v>
                </c:pt>
                <c:pt idx="77">
                  <c:v>44608</c:v>
                </c:pt>
                <c:pt idx="78">
                  <c:v>44609</c:v>
                </c:pt>
                <c:pt idx="79">
                  <c:v>44610</c:v>
                </c:pt>
                <c:pt idx="80">
                  <c:v>44613</c:v>
                </c:pt>
                <c:pt idx="81">
                  <c:v>44614</c:v>
                </c:pt>
                <c:pt idx="82">
                  <c:v>44615</c:v>
                </c:pt>
                <c:pt idx="83">
                  <c:v>44616</c:v>
                </c:pt>
                <c:pt idx="84">
                  <c:v>44617</c:v>
                </c:pt>
                <c:pt idx="85">
                  <c:v>44620</c:v>
                </c:pt>
                <c:pt idx="86">
                  <c:v>44621</c:v>
                </c:pt>
                <c:pt idx="87">
                  <c:v>44622</c:v>
                </c:pt>
                <c:pt idx="88">
                  <c:v>44623</c:v>
                </c:pt>
                <c:pt idx="89">
                  <c:v>44624</c:v>
                </c:pt>
                <c:pt idx="90">
                  <c:v>44627</c:v>
                </c:pt>
                <c:pt idx="91">
                  <c:v>44628</c:v>
                </c:pt>
                <c:pt idx="92">
                  <c:v>44629</c:v>
                </c:pt>
                <c:pt idx="93">
                  <c:v>44630</c:v>
                </c:pt>
                <c:pt idx="94">
                  <c:v>44631</c:v>
                </c:pt>
                <c:pt idx="95">
                  <c:v>44634</c:v>
                </c:pt>
                <c:pt idx="96">
                  <c:v>44635</c:v>
                </c:pt>
                <c:pt idx="97">
                  <c:v>44636</c:v>
                </c:pt>
                <c:pt idx="98">
                  <c:v>44637</c:v>
                </c:pt>
                <c:pt idx="99">
                  <c:v>44638</c:v>
                </c:pt>
                <c:pt idx="100">
                  <c:v>44642</c:v>
                </c:pt>
                <c:pt idx="101">
                  <c:v>44643</c:v>
                </c:pt>
                <c:pt idx="102">
                  <c:v>44644</c:v>
                </c:pt>
                <c:pt idx="103">
                  <c:v>44645</c:v>
                </c:pt>
                <c:pt idx="104">
                  <c:v>44648</c:v>
                </c:pt>
                <c:pt idx="105">
                  <c:v>44649</c:v>
                </c:pt>
                <c:pt idx="106">
                  <c:v>44650</c:v>
                </c:pt>
                <c:pt idx="107">
                  <c:v>44651</c:v>
                </c:pt>
                <c:pt idx="108">
                  <c:v>44652</c:v>
                </c:pt>
                <c:pt idx="109">
                  <c:v>44655</c:v>
                </c:pt>
                <c:pt idx="110">
                  <c:v>44656</c:v>
                </c:pt>
                <c:pt idx="111">
                  <c:v>44657</c:v>
                </c:pt>
                <c:pt idx="112">
                  <c:v>44658</c:v>
                </c:pt>
                <c:pt idx="113">
                  <c:v>44659</c:v>
                </c:pt>
                <c:pt idx="114">
                  <c:v>44662</c:v>
                </c:pt>
                <c:pt idx="115">
                  <c:v>44663</c:v>
                </c:pt>
                <c:pt idx="116">
                  <c:v>44664</c:v>
                </c:pt>
                <c:pt idx="117">
                  <c:v>44669</c:v>
                </c:pt>
                <c:pt idx="118">
                  <c:v>44670</c:v>
                </c:pt>
                <c:pt idx="119">
                  <c:v>44671</c:v>
                </c:pt>
                <c:pt idx="120">
                  <c:v>44672</c:v>
                </c:pt>
                <c:pt idx="121">
                  <c:v>44673</c:v>
                </c:pt>
                <c:pt idx="122">
                  <c:v>44676</c:v>
                </c:pt>
                <c:pt idx="123">
                  <c:v>44677</c:v>
                </c:pt>
                <c:pt idx="124">
                  <c:v>44678</c:v>
                </c:pt>
                <c:pt idx="125">
                  <c:v>44679</c:v>
                </c:pt>
                <c:pt idx="126">
                  <c:v>44680</c:v>
                </c:pt>
                <c:pt idx="127">
                  <c:v>44683</c:v>
                </c:pt>
                <c:pt idx="128">
                  <c:v>44684</c:v>
                </c:pt>
                <c:pt idx="129">
                  <c:v>44685</c:v>
                </c:pt>
                <c:pt idx="130">
                  <c:v>44686</c:v>
                </c:pt>
                <c:pt idx="131">
                  <c:v>44687</c:v>
                </c:pt>
                <c:pt idx="132">
                  <c:v>44690</c:v>
                </c:pt>
                <c:pt idx="133">
                  <c:v>44691</c:v>
                </c:pt>
                <c:pt idx="134">
                  <c:v>44692</c:v>
                </c:pt>
                <c:pt idx="135">
                  <c:v>44693</c:v>
                </c:pt>
                <c:pt idx="136">
                  <c:v>44694</c:v>
                </c:pt>
                <c:pt idx="137">
                  <c:v>44697</c:v>
                </c:pt>
                <c:pt idx="138">
                  <c:v>44698</c:v>
                </c:pt>
                <c:pt idx="139">
                  <c:v>44699</c:v>
                </c:pt>
                <c:pt idx="140">
                  <c:v>44700</c:v>
                </c:pt>
                <c:pt idx="141">
                  <c:v>44701</c:v>
                </c:pt>
                <c:pt idx="142">
                  <c:v>44704</c:v>
                </c:pt>
                <c:pt idx="143">
                  <c:v>44705</c:v>
                </c:pt>
                <c:pt idx="144">
                  <c:v>44706</c:v>
                </c:pt>
                <c:pt idx="145">
                  <c:v>44707</c:v>
                </c:pt>
                <c:pt idx="146">
                  <c:v>44708</c:v>
                </c:pt>
                <c:pt idx="147">
                  <c:v>44711</c:v>
                </c:pt>
                <c:pt idx="148">
                  <c:v>44712</c:v>
                </c:pt>
                <c:pt idx="149">
                  <c:v>44713</c:v>
                </c:pt>
                <c:pt idx="150">
                  <c:v>44714</c:v>
                </c:pt>
                <c:pt idx="151">
                  <c:v>44715</c:v>
                </c:pt>
                <c:pt idx="152">
                  <c:v>44718</c:v>
                </c:pt>
                <c:pt idx="153">
                  <c:v>44719</c:v>
                </c:pt>
                <c:pt idx="154">
                  <c:v>44720</c:v>
                </c:pt>
                <c:pt idx="155">
                  <c:v>44721</c:v>
                </c:pt>
                <c:pt idx="156">
                  <c:v>44722</c:v>
                </c:pt>
                <c:pt idx="157">
                  <c:v>44725</c:v>
                </c:pt>
                <c:pt idx="158">
                  <c:v>44726</c:v>
                </c:pt>
                <c:pt idx="159">
                  <c:v>44727</c:v>
                </c:pt>
                <c:pt idx="160">
                  <c:v>44728</c:v>
                </c:pt>
                <c:pt idx="161">
                  <c:v>44729</c:v>
                </c:pt>
                <c:pt idx="162">
                  <c:v>44732</c:v>
                </c:pt>
                <c:pt idx="163">
                  <c:v>44733</c:v>
                </c:pt>
                <c:pt idx="164">
                  <c:v>44734</c:v>
                </c:pt>
                <c:pt idx="165">
                  <c:v>44735</c:v>
                </c:pt>
                <c:pt idx="166">
                  <c:v>44736</c:v>
                </c:pt>
                <c:pt idx="167">
                  <c:v>44739</c:v>
                </c:pt>
                <c:pt idx="168">
                  <c:v>44740</c:v>
                </c:pt>
                <c:pt idx="169">
                  <c:v>44741</c:v>
                </c:pt>
                <c:pt idx="170">
                  <c:v>44742</c:v>
                </c:pt>
                <c:pt idx="171">
                  <c:v>44743</c:v>
                </c:pt>
                <c:pt idx="172">
                  <c:v>44746</c:v>
                </c:pt>
                <c:pt idx="173">
                  <c:v>44747</c:v>
                </c:pt>
                <c:pt idx="174">
                  <c:v>44748</c:v>
                </c:pt>
                <c:pt idx="175">
                  <c:v>44749</c:v>
                </c:pt>
                <c:pt idx="176">
                  <c:v>44750</c:v>
                </c:pt>
                <c:pt idx="177">
                  <c:v>44753</c:v>
                </c:pt>
                <c:pt idx="178">
                  <c:v>44754</c:v>
                </c:pt>
                <c:pt idx="179">
                  <c:v>44755</c:v>
                </c:pt>
                <c:pt idx="180">
                  <c:v>44756</c:v>
                </c:pt>
                <c:pt idx="181">
                  <c:v>44757</c:v>
                </c:pt>
                <c:pt idx="182">
                  <c:v>44760</c:v>
                </c:pt>
                <c:pt idx="183">
                  <c:v>44761</c:v>
                </c:pt>
                <c:pt idx="184">
                  <c:v>44762</c:v>
                </c:pt>
                <c:pt idx="185">
                  <c:v>44763</c:v>
                </c:pt>
                <c:pt idx="186">
                  <c:v>44764</c:v>
                </c:pt>
                <c:pt idx="187">
                  <c:v>44767</c:v>
                </c:pt>
                <c:pt idx="188">
                  <c:v>44768</c:v>
                </c:pt>
                <c:pt idx="189">
                  <c:v>44769</c:v>
                </c:pt>
                <c:pt idx="190">
                  <c:v>44770</c:v>
                </c:pt>
                <c:pt idx="191">
                  <c:v>44771</c:v>
                </c:pt>
                <c:pt idx="192">
                  <c:v>44774</c:v>
                </c:pt>
                <c:pt idx="193">
                  <c:v>44775</c:v>
                </c:pt>
                <c:pt idx="194">
                  <c:v>44776</c:v>
                </c:pt>
                <c:pt idx="195">
                  <c:v>44777</c:v>
                </c:pt>
                <c:pt idx="196">
                  <c:v>44778</c:v>
                </c:pt>
                <c:pt idx="197">
                  <c:v>44781</c:v>
                </c:pt>
                <c:pt idx="198">
                  <c:v>44782</c:v>
                </c:pt>
                <c:pt idx="199">
                  <c:v>44783</c:v>
                </c:pt>
                <c:pt idx="200">
                  <c:v>44784</c:v>
                </c:pt>
                <c:pt idx="201">
                  <c:v>44785</c:v>
                </c:pt>
                <c:pt idx="202">
                  <c:v>44788</c:v>
                </c:pt>
                <c:pt idx="203">
                  <c:v>44789</c:v>
                </c:pt>
                <c:pt idx="204">
                  <c:v>44790</c:v>
                </c:pt>
                <c:pt idx="205">
                  <c:v>44791</c:v>
                </c:pt>
                <c:pt idx="206">
                  <c:v>44792</c:v>
                </c:pt>
                <c:pt idx="207">
                  <c:v>44795</c:v>
                </c:pt>
                <c:pt idx="208">
                  <c:v>44796</c:v>
                </c:pt>
                <c:pt idx="209">
                  <c:v>44797</c:v>
                </c:pt>
                <c:pt idx="210">
                  <c:v>44798</c:v>
                </c:pt>
                <c:pt idx="211">
                  <c:v>44799</c:v>
                </c:pt>
                <c:pt idx="212">
                  <c:v>44802</c:v>
                </c:pt>
                <c:pt idx="213">
                  <c:v>44803</c:v>
                </c:pt>
                <c:pt idx="214">
                  <c:v>44804</c:v>
                </c:pt>
                <c:pt idx="215">
                  <c:v>44805</c:v>
                </c:pt>
                <c:pt idx="216">
                  <c:v>44806</c:v>
                </c:pt>
                <c:pt idx="217">
                  <c:v>44809</c:v>
                </c:pt>
                <c:pt idx="218">
                  <c:v>44810</c:v>
                </c:pt>
                <c:pt idx="219">
                  <c:v>44811</c:v>
                </c:pt>
                <c:pt idx="220">
                  <c:v>44812</c:v>
                </c:pt>
                <c:pt idx="221">
                  <c:v>44813</c:v>
                </c:pt>
                <c:pt idx="222">
                  <c:v>44816</c:v>
                </c:pt>
                <c:pt idx="223">
                  <c:v>44817</c:v>
                </c:pt>
                <c:pt idx="224">
                  <c:v>44818</c:v>
                </c:pt>
                <c:pt idx="225">
                  <c:v>44819</c:v>
                </c:pt>
                <c:pt idx="226">
                  <c:v>44823</c:v>
                </c:pt>
                <c:pt idx="227">
                  <c:v>44824</c:v>
                </c:pt>
                <c:pt idx="228">
                  <c:v>44825</c:v>
                </c:pt>
                <c:pt idx="229">
                  <c:v>44826</c:v>
                </c:pt>
                <c:pt idx="230">
                  <c:v>44827</c:v>
                </c:pt>
                <c:pt idx="231">
                  <c:v>44830</c:v>
                </c:pt>
                <c:pt idx="232">
                  <c:v>44831</c:v>
                </c:pt>
                <c:pt idx="233">
                  <c:v>44832</c:v>
                </c:pt>
                <c:pt idx="234">
                  <c:v>44833</c:v>
                </c:pt>
                <c:pt idx="235">
                  <c:v>44834</c:v>
                </c:pt>
                <c:pt idx="236">
                  <c:v>44837</c:v>
                </c:pt>
                <c:pt idx="237">
                  <c:v>44838</c:v>
                </c:pt>
                <c:pt idx="238">
                  <c:v>44839</c:v>
                </c:pt>
                <c:pt idx="239">
                  <c:v>44840</c:v>
                </c:pt>
                <c:pt idx="240">
                  <c:v>44841</c:v>
                </c:pt>
                <c:pt idx="241">
                  <c:v>44844</c:v>
                </c:pt>
                <c:pt idx="242">
                  <c:v>44845</c:v>
                </c:pt>
                <c:pt idx="243">
                  <c:v>44846</c:v>
                </c:pt>
                <c:pt idx="244">
                  <c:v>44847</c:v>
                </c:pt>
                <c:pt idx="245">
                  <c:v>44848</c:v>
                </c:pt>
                <c:pt idx="246">
                  <c:v>44851</c:v>
                </c:pt>
                <c:pt idx="247">
                  <c:v>44852</c:v>
                </c:pt>
                <c:pt idx="248">
                  <c:v>44853</c:v>
                </c:pt>
                <c:pt idx="249">
                  <c:v>44854</c:v>
                </c:pt>
                <c:pt idx="250">
                  <c:v>44855</c:v>
                </c:pt>
                <c:pt idx="251">
                  <c:v>44858</c:v>
                </c:pt>
                <c:pt idx="252">
                  <c:v>44859</c:v>
                </c:pt>
                <c:pt idx="253">
                  <c:v>44860</c:v>
                </c:pt>
                <c:pt idx="254">
                  <c:v>44861</c:v>
                </c:pt>
                <c:pt idx="255">
                  <c:v>44862</c:v>
                </c:pt>
                <c:pt idx="256">
                  <c:v>44865</c:v>
                </c:pt>
                <c:pt idx="257">
                  <c:v>44866</c:v>
                </c:pt>
                <c:pt idx="258">
                  <c:v>44868</c:v>
                </c:pt>
                <c:pt idx="259">
                  <c:v>44869</c:v>
                </c:pt>
                <c:pt idx="260">
                  <c:v>44872</c:v>
                </c:pt>
                <c:pt idx="261">
                  <c:v>44873</c:v>
                </c:pt>
                <c:pt idx="262">
                  <c:v>44874</c:v>
                </c:pt>
                <c:pt idx="263">
                  <c:v>44875</c:v>
                </c:pt>
                <c:pt idx="264">
                  <c:v>44876</c:v>
                </c:pt>
                <c:pt idx="265">
                  <c:v>44879</c:v>
                </c:pt>
                <c:pt idx="266">
                  <c:v>44880</c:v>
                </c:pt>
                <c:pt idx="267">
                  <c:v>44881</c:v>
                </c:pt>
                <c:pt idx="268">
                  <c:v>44882</c:v>
                </c:pt>
                <c:pt idx="269">
                  <c:v>44883</c:v>
                </c:pt>
                <c:pt idx="270">
                  <c:v>44887</c:v>
                </c:pt>
                <c:pt idx="271">
                  <c:v>44888</c:v>
                </c:pt>
                <c:pt idx="272">
                  <c:v>44889</c:v>
                </c:pt>
                <c:pt idx="273">
                  <c:v>44890</c:v>
                </c:pt>
                <c:pt idx="274">
                  <c:v>44893</c:v>
                </c:pt>
                <c:pt idx="275">
                  <c:v>44894</c:v>
                </c:pt>
                <c:pt idx="276">
                  <c:v>44895</c:v>
                </c:pt>
                <c:pt idx="277">
                  <c:v>44896</c:v>
                </c:pt>
                <c:pt idx="278">
                  <c:v>44897</c:v>
                </c:pt>
                <c:pt idx="279">
                  <c:v>44900</c:v>
                </c:pt>
                <c:pt idx="280">
                  <c:v>44901</c:v>
                </c:pt>
                <c:pt idx="281">
                  <c:v>44902</c:v>
                </c:pt>
                <c:pt idx="282">
                  <c:v>44903</c:v>
                </c:pt>
                <c:pt idx="283">
                  <c:v>44904</c:v>
                </c:pt>
                <c:pt idx="284">
                  <c:v>44908</c:v>
                </c:pt>
                <c:pt idx="285">
                  <c:v>44909</c:v>
                </c:pt>
                <c:pt idx="286">
                  <c:v>44910</c:v>
                </c:pt>
                <c:pt idx="287">
                  <c:v>44911</c:v>
                </c:pt>
                <c:pt idx="288">
                  <c:v>44914</c:v>
                </c:pt>
                <c:pt idx="289">
                  <c:v>44915</c:v>
                </c:pt>
                <c:pt idx="290">
                  <c:v>44916</c:v>
                </c:pt>
                <c:pt idx="291">
                  <c:v>44917</c:v>
                </c:pt>
                <c:pt idx="292">
                  <c:v>44918</c:v>
                </c:pt>
                <c:pt idx="293">
                  <c:v>44921</c:v>
                </c:pt>
                <c:pt idx="294">
                  <c:v>44922</c:v>
                </c:pt>
                <c:pt idx="295">
                  <c:v>44923</c:v>
                </c:pt>
                <c:pt idx="296">
                  <c:v>44924</c:v>
                </c:pt>
                <c:pt idx="297">
                  <c:v>44925</c:v>
                </c:pt>
                <c:pt idx="298">
                  <c:v>44928</c:v>
                </c:pt>
                <c:pt idx="299">
                  <c:v>44929</c:v>
                </c:pt>
                <c:pt idx="300">
                  <c:v>44930</c:v>
                </c:pt>
                <c:pt idx="301">
                  <c:v>44931</c:v>
                </c:pt>
                <c:pt idx="302">
                  <c:v>44932</c:v>
                </c:pt>
                <c:pt idx="303">
                  <c:v>44935</c:v>
                </c:pt>
                <c:pt idx="304">
                  <c:v>44936</c:v>
                </c:pt>
                <c:pt idx="305">
                  <c:v>44937</c:v>
                </c:pt>
                <c:pt idx="306">
                  <c:v>44938</c:v>
                </c:pt>
                <c:pt idx="307">
                  <c:v>44939</c:v>
                </c:pt>
                <c:pt idx="308">
                  <c:v>44942</c:v>
                </c:pt>
                <c:pt idx="309">
                  <c:v>44943</c:v>
                </c:pt>
                <c:pt idx="310">
                  <c:v>44944</c:v>
                </c:pt>
                <c:pt idx="311">
                  <c:v>44945</c:v>
                </c:pt>
                <c:pt idx="312">
                  <c:v>44946</c:v>
                </c:pt>
                <c:pt idx="313">
                  <c:v>44949</c:v>
                </c:pt>
                <c:pt idx="314">
                  <c:v>44950</c:v>
                </c:pt>
                <c:pt idx="315">
                  <c:v>44951</c:v>
                </c:pt>
                <c:pt idx="316">
                  <c:v>44952</c:v>
                </c:pt>
                <c:pt idx="317">
                  <c:v>44953</c:v>
                </c:pt>
                <c:pt idx="318">
                  <c:v>44956</c:v>
                </c:pt>
                <c:pt idx="319">
                  <c:v>44957</c:v>
                </c:pt>
                <c:pt idx="320">
                  <c:v>44958</c:v>
                </c:pt>
                <c:pt idx="321">
                  <c:v>44959</c:v>
                </c:pt>
                <c:pt idx="322">
                  <c:v>44960</c:v>
                </c:pt>
                <c:pt idx="323">
                  <c:v>44964</c:v>
                </c:pt>
                <c:pt idx="324">
                  <c:v>44965</c:v>
                </c:pt>
                <c:pt idx="325">
                  <c:v>44966</c:v>
                </c:pt>
                <c:pt idx="326">
                  <c:v>44967</c:v>
                </c:pt>
                <c:pt idx="327">
                  <c:v>44970</c:v>
                </c:pt>
                <c:pt idx="328">
                  <c:v>44971</c:v>
                </c:pt>
                <c:pt idx="329">
                  <c:v>44972</c:v>
                </c:pt>
                <c:pt idx="330">
                  <c:v>44973</c:v>
                </c:pt>
                <c:pt idx="331">
                  <c:v>44974</c:v>
                </c:pt>
                <c:pt idx="332">
                  <c:v>44977</c:v>
                </c:pt>
                <c:pt idx="333">
                  <c:v>44978</c:v>
                </c:pt>
                <c:pt idx="334">
                  <c:v>44979</c:v>
                </c:pt>
                <c:pt idx="335">
                  <c:v>44980</c:v>
                </c:pt>
                <c:pt idx="336">
                  <c:v>44981</c:v>
                </c:pt>
                <c:pt idx="337">
                  <c:v>44984</c:v>
                </c:pt>
                <c:pt idx="338">
                  <c:v>44985</c:v>
                </c:pt>
                <c:pt idx="339">
                  <c:v>44986</c:v>
                </c:pt>
                <c:pt idx="340">
                  <c:v>44987</c:v>
                </c:pt>
                <c:pt idx="341">
                  <c:v>44988</c:v>
                </c:pt>
                <c:pt idx="342">
                  <c:v>44991</c:v>
                </c:pt>
                <c:pt idx="343">
                  <c:v>44992</c:v>
                </c:pt>
                <c:pt idx="344">
                  <c:v>44993</c:v>
                </c:pt>
                <c:pt idx="345">
                  <c:v>44994</c:v>
                </c:pt>
                <c:pt idx="346">
                  <c:v>44995</c:v>
                </c:pt>
                <c:pt idx="347">
                  <c:v>44998</c:v>
                </c:pt>
                <c:pt idx="348">
                  <c:v>44999</c:v>
                </c:pt>
                <c:pt idx="349">
                  <c:v>45000</c:v>
                </c:pt>
                <c:pt idx="350">
                  <c:v>45001</c:v>
                </c:pt>
                <c:pt idx="351">
                  <c:v>45002</c:v>
                </c:pt>
                <c:pt idx="352">
                  <c:v>45006</c:v>
                </c:pt>
                <c:pt idx="353">
                  <c:v>45007</c:v>
                </c:pt>
                <c:pt idx="354">
                  <c:v>45008</c:v>
                </c:pt>
                <c:pt idx="355">
                  <c:v>45009</c:v>
                </c:pt>
                <c:pt idx="356">
                  <c:v>45012</c:v>
                </c:pt>
                <c:pt idx="357">
                  <c:v>45013</c:v>
                </c:pt>
                <c:pt idx="358">
                  <c:v>45014</c:v>
                </c:pt>
                <c:pt idx="359">
                  <c:v>45015</c:v>
                </c:pt>
                <c:pt idx="360">
                  <c:v>45016</c:v>
                </c:pt>
                <c:pt idx="361">
                  <c:v>45019</c:v>
                </c:pt>
                <c:pt idx="362">
                  <c:v>45020</c:v>
                </c:pt>
                <c:pt idx="363">
                  <c:v>45021</c:v>
                </c:pt>
                <c:pt idx="364">
                  <c:v>45026</c:v>
                </c:pt>
                <c:pt idx="365">
                  <c:v>45027</c:v>
                </c:pt>
                <c:pt idx="366">
                  <c:v>45028</c:v>
                </c:pt>
                <c:pt idx="367">
                  <c:v>45029</c:v>
                </c:pt>
                <c:pt idx="368">
                  <c:v>45030</c:v>
                </c:pt>
                <c:pt idx="369">
                  <c:v>45033</c:v>
                </c:pt>
                <c:pt idx="370">
                  <c:v>45034</c:v>
                </c:pt>
                <c:pt idx="371">
                  <c:v>45035</c:v>
                </c:pt>
                <c:pt idx="372">
                  <c:v>45036</c:v>
                </c:pt>
                <c:pt idx="373">
                  <c:v>45037</c:v>
                </c:pt>
                <c:pt idx="374">
                  <c:v>45040</c:v>
                </c:pt>
                <c:pt idx="375">
                  <c:v>45041</c:v>
                </c:pt>
                <c:pt idx="376">
                  <c:v>45042</c:v>
                </c:pt>
                <c:pt idx="377">
                  <c:v>45043</c:v>
                </c:pt>
                <c:pt idx="378">
                  <c:v>45044</c:v>
                </c:pt>
                <c:pt idx="379">
                  <c:v>45048</c:v>
                </c:pt>
                <c:pt idx="380">
                  <c:v>45049</c:v>
                </c:pt>
                <c:pt idx="381">
                  <c:v>45050</c:v>
                </c:pt>
                <c:pt idx="382">
                  <c:v>45051</c:v>
                </c:pt>
                <c:pt idx="383">
                  <c:v>45054</c:v>
                </c:pt>
                <c:pt idx="384">
                  <c:v>45055</c:v>
                </c:pt>
                <c:pt idx="385">
                  <c:v>45056</c:v>
                </c:pt>
                <c:pt idx="386">
                  <c:v>45057</c:v>
                </c:pt>
                <c:pt idx="387">
                  <c:v>45058</c:v>
                </c:pt>
                <c:pt idx="388">
                  <c:v>45061</c:v>
                </c:pt>
                <c:pt idx="389">
                  <c:v>45062</c:v>
                </c:pt>
                <c:pt idx="390">
                  <c:v>45063</c:v>
                </c:pt>
                <c:pt idx="391">
                  <c:v>45064</c:v>
                </c:pt>
                <c:pt idx="392">
                  <c:v>45065</c:v>
                </c:pt>
                <c:pt idx="393">
                  <c:v>45068</c:v>
                </c:pt>
                <c:pt idx="394">
                  <c:v>45069</c:v>
                </c:pt>
                <c:pt idx="395">
                  <c:v>45070</c:v>
                </c:pt>
                <c:pt idx="396">
                  <c:v>45071</c:v>
                </c:pt>
                <c:pt idx="397">
                  <c:v>45072</c:v>
                </c:pt>
                <c:pt idx="398">
                  <c:v>45075</c:v>
                </c:pt>
                <c:pt idx="399">
                  <c:v>45076</c:v>
                </c:pt>
                <c:pt idx="400">
                  <c:v>45077</c:v>
                </c:pt>
                <c:pt idx="401">
                  <c:v>45078</c:v>
                </c:pt>
                <c:pt idx="402">
                  <c:v>45079</c:v>
                </c:pt>
                <c:pt idx="403">
                  <c:v>45082</c:v>
                </c:pt>
                <c:pt idx="404">
                  <c:v>45083</c:v>
                </c:pt>
                <c:pt idx="405">
                  <c:v>45084</c:v>
                </c:pt>
                <c:pt idx="406">
                  <c:v>45085</c:v>
                </c:pt>
                <c:pt idx="407">
                  <c:v>45086</c:v>
                </c:pt>
                <c:pt idx="408">
                  <c:v>45089</c:v>
                </c:pt>
                <c:pt idx="409">
                  <c:v>45090</c:v>
                </c:pt>
                <c:pt idx="410">
                  <c:v>45091</c:v>
                </c:pt>
                <c:pt idx="411">
                  <c:v>45092</c:v>
                </c:pt>
                <c:pt idx="412">
                  <c:v>45093</c:v>
                </c:pt>
                <c:pt idx="413">
                  <c:v>45096</c:v>
                </c:pt>
                <c:pt idx="414">
                  <c:v>45097</c:v>
                </c:pt>
                <c:pt idx="415">
                  <c:v>45098</c:v>
                </c:pt>
                <c:pt idx="416">
                  <c:v>45099</c:v>
                </c:pt>
                <c:pt idx="417">
                  <c:v>45100</c:v>
                </c:pt>
                <c:pt idx="418">
                  <c:v>45103</c:v>
                </c:pt>
                <c:pt idx="419">
                  <c:v>45104</c:v>
                </c:pt>
                <c:pt idx="420">
                  <c:v>45105</c:v>
                </c:pt>
                <c:pt idx="421">
                  <c:v>45106</c:v>
                </c:pt>
                <c:pt idx="422">
                  <c:v>45107</c:v>
                </c:pt>
                <c:pt idx="423">
                  <c:v>45110</c:v>
                </c:pt>
                <c:pt idx="424">
                  <c:v>45111</c:v>
                </c:pt>
                <c:pt idx="425">
                  <c:v>45112</c:v>
                </c:pt>
                <c:pt idx="426">
                  <c:v>45113</c:v>
                </c:pt>
                <c:pt idx="427">
                  <c:v>45114</c:v>
                </c:pt>
                <c:pt idx="428">
                  <c:v>45117</c:v>
                </c:pt>
                <c:pt idx="429">
                  <c:v>45118</c:v>
                </c:pt>
                <c:pt idx="430">
                  <c:v>45119</c:v>
                </c:pt>
                <c:pt idx="431">
                  <c:v>45120</c:v>
                </c:pt>
                <c:pt idx="432">
                  <c:v>45121</c:v>
                </c:pt>
                <c:pt idx="433">
                  <c:v>45124</c:v>
                </c:pt>
                <c:pt idx="434">
                  <c:v>45125</c:v>
                </c:pt>
                <c:pt idx="435">
                  <c:v>45126</c:v>
                </c:pt>
                <c:pt idx="436">
                  <c:v>45127</c:v>
                </c:pt>
                <c:pt idx="437">
                  <c:v>45128</c:v>
                </c:pt>
                <c:pt idx="438">
                  <c:v>45131</c:v>
                </c:pt>
                <c:pt idx="439">
                  <c:v>45132</c:v>
                </c:pt>
                <c:pt idx="440">
                  <c:v>45133</c:v>
                </c:pt>
                <c:pt idx="441">
                  <c:v>45134</c:v>
                </c:pt>
                <c:pt idx="442">
                  <c:v>45135</c:v>
                </c:pt>
                <c:pt idx="443">
                  <c:v>45138</c:v>
                </c:pt>
                <c:pt idx="444">
                  <c:v>45139</c:v>
                </c:pt>
                <c:pt idx="445">
                  <c:v>45140</c:v>
                </c:pt>
                <c:pt idx="446">
                  <c:v>45141</c:v>
                </c:pt>
                <c:pt idx="447">
                  <c:v>45142</c:v>
                </c:pt>
                <c:pt idx="448">
                  <c:v>45145</c:v>
                </c:pt>
                <c:pt idx="449">
                  <c:v>45146</c:v>
                </c:pt>
                <c:pt idx="450">
                  <c:v>45147</c:v>
                </c:pt>
                <c:pt idx="451">
                  <c:v>45148</c:v>
                </c:pt>
                <c:pt idx="452">
                  <c:v>45149</c:v>
                </c:pt>
                <c:pt idx="453">
                  <c:v>45152</c:v>
                </c:pt>
                <c:pt idx="454">
                  <c:v>45153</c:v>
                </c:pt>
                <c:pt idx="455">
                  <c:v>45154</c:v>
                </c:pt>
                <c:pt idx="456">
                  <c:v>45155</c:v>
                </c:pt>
                <c:pt idx="457">
                  <c:v>45156</c:v>
                </c:pt>
                <c:pt idx="458">
                  <c:v>45159</c:v>
                </c:pt>
                <c:pt idx="459">
                  <c:v>45160</c:v>
                </c:pt>
                <c:pt idx="460">
                  <c:v>45161</c:v>
                </c:pt>
                <c:pt idx="461">
                  <c:v>45162</c:v>
                </c:pt>
                <c:pt idx="462">
                  <c:v>45163</c:v>
                </c:pt>
                <c:pt idx="463">
                  <c:v>45166</c:v>
                </c:pt>
                <c:pt idx="464">
                  <c:v>45167</c:v>
                </c:pt>
                <c:pt idx="465">
                  <c:v>45168</c:v>
                </c:pt>
                <c:pt idx="466">
                  <c:v>45169</c:v>
                </c:pt>
                <c:pt idx="467">
                  <c:v>45170</c:v>
                </c:pt>
                <c:pt idx="468">
                  <c:v>45173</c:v>
                </c:pt>
                <c:pt idx="469">
                  <c:v>45174</c:v>
                </c:pt>
                <c:pt idx="470">
                  <c:v>45175</c:v>
                </c:pt>
                <c:pt idx="471">
                  <c:v>45176</c:v>
                </c:pt>
                <c:pt idx="472">
                  <c:v>45177</c:v>
                </c:pt>
                <c:pt idx="473">
                  <c:v>45180</c:v>
                </c:pt>
                <c:pt idx="474">
                  <c:v>45181</c:v>
                </c:pt>
                <c:pt idx="475">
                  <c:v>45182</c:v>
                </c:pt>
                <c:pt idx="476">
                  <c:v>45183</c:v>
                </c:pt>
                <c:pt idx="477">
                  <c:v>45184</c:v>
                </c:pt>
                <c:pt idx="478">
                  <c:v>45187</c:v>
                </c:pt>
                <c:pt idx="479">
                  <c:v>45188</c:v>
                </c:pt>
                <c:pt idx="480">
                  <c:v>45189</c:v>
                </c:pt>
                <c:pt idx="481">
                  <c:v>45190</c:v>
                </c:pt>
                <c:pt idx="482">
                  <c:v>45191</c:v>
                </c:pt>
                <c:pt idx="483">
                  <c:v>45194</c:v>
                </c:pt>
                <c:pt idx="484">
                  <c:v>45195</c:v>
                </c:pt>
                <c:pt idx="485">
                  <c:v>45196</c:v>
                </c:pt>
                <c:pt idx="486">
                  <c:v>45197</c:v>
                </c:pt>
                <c:pt idx="487">
                  <c:v>45198</c:v>
                </c:pt>
                <c:pt idx="488">
                  <c:v>45201</c:v>
                </c:pt>
                <c:pt idx="489">
                  <c:v>45202</c:v>
                </c:pt>
                <c:pt idx="490">
                  <c:v>45203</c:v>
                </c:pt>
                <c:pt idx="491">
                  <c:v>45204</c:v>
                </c:pt>
                <c:pt idx="492">
                  <c:v>45205</c:v>
                </c:pt>
                <c:pt idx="493">
                  <c:v>45208</c:v>
                </c:pt>
                <c:pt idx="494">
                  <c:v>45209</c:v>
                </c:pt>
                <c:pt idx="495">
                  <c:v>45210</c:v>
                </c:pt>
                <c:pt idx="496">
                  <c:v>45211</c:v>
                </c:pt>
                <c:pt idx="497">
                  <c:v>45212</c:v>
                </c:pt>
                <c:pt idx="498">
                  <c:v>45215</c:v>
                </c:pt>
                <c:pt idx="499">
                  <c:v>45216</c:v>
                </c:pt>
                <c:pt idx="500">
                  <c:v>45217</c:v>
                </c:pt>
                <c:pt idx="501">
                  <c:v>45218</c:v>
                </c:pt>
                <c:pt idx="502">
                  <c:v>45219</c:v>
                </c:pt>
                <c:pt idx="503">
                  <c:v>45222</c:v>
                </c:pt>
                <c:pt idx="504">
                  <c:v>45223</c:v>
                </c:pt>
                <c:pt idx="505">
                  <c:v>45224</c:v>
                </c:pt>
                <c:pt idx="506">
                  <c:v>45225</c:v>
                </c:pt>
                <c:pt idx="507">
                  <c:v>45226</c:v>
                </c:pt>
                <c:pt idx="508">
                  <c:v>45229</c:v>
                </c:pt>
                <c:pt idx="509">
                  <c:v>45230</c:v>
                </c:pt>
                <c:pt idx="510">
                  <c:v>45231</c:v>
                </c:pt>
                <c:pt idx="511">
                  <c:v>45233</c:v>
                </c:pt>
                <c:pt idx="512">
                  <c:v>45236</c:v>
                </c:pt>
                <c:pt idx="513">
                  <c:v>45237</c:v>
                </c:pt>
                <c:pt idx="514">
                  <c:v>45238</c:v>
                </c:pt>
                <c:pt idx="515">
                  <c:v>45239</c:v>
                </c:pt>
                <c:pt idx="516">
                  <c:v>45240</c:v>
                </c:pt>
                <c:pt idx="517">
                  <c:v>45243</c:v>
                </c:pt>
                <c:pt idx="518">
                  <c:v>45244</c:v>
                </c:pt>
                <c:pt idx="519">
                  <c:v>45245</c:v>
                </c:pt>
                <c:pt idx="520">
                  <c:v>45246</c:v>
                </c:pt>
                <c:pt idx="521">
                  <c:v>45247</c:v>
                </c:pt>
                <c:pt idx="522">
                  <c:v>45251</c:v>
                </c:pt>
                <c:pt idx="523">
                  <c:v>45252</c:v>
                </c:pt>
                <c:pt idx="524">
                  <c:v>45253</c:v>
                </c:pt>
                <c:pt idx="525">
                  <c:v>45254</c:v>
                </c:pt>
                <c:pt idx="526">
                  <c:v>45257</c:v>
                </c:pt>
                <c:pt idx="527">
                  <c:v>45258</c:v>
                </c:pt>
                <c:pt idx="528">
                  <c:v>45259</c:v>
                </c:pt>
                <c:pt idx="529">
                  <c:v>45260</c:v>
                </c:pt>
                <c:pt idx="530">
                  <c:v>45261</c:v>
                </c:pt>
                <c:pt idx="531">
                  <c:v>45264</c:v>
                </c:pt>
                <c:pt idx="532">
                  <c:v>45265</c:v>
                </c:pt>
                <c:pt idx="533">
                  <c:v>45266</c:v>
                </c:pt>
                <c:pt idx="534">
                  <c:v>45267</c:v>
                </c:pt>
                <c:pt idx="535">
                  <c:v>45268</c:v>
                </c:pt>
                <c:pt idx="536">
                  <c:v>45271</c:v>
                </c:pt>
                <c:pt idx="537">
                  <c:v>45273</c:v>
                </c:pt>
                <c:pt idx="538">
                  <c:v>45274</c:v>
                </c:pt>
                <c:pt idx="539">
                  <c:v>45275</c:v>
                </c:pt>
                <c:pt idx="540">
                  <c:v>45278</c:v>
                </c:pt>
                <c:pt idx="541">
                  <c:v>45279</c:v>
                </c:pt>
                <c:pt idx="542">
                  <c:v>45280</c:v>
                </c:pt>
                <c:pt idx="543">
                  <c:v>45281</c:v>
                </c:pt>
                <c:pt idx="544">
                  <c:v>45282</c:v>
                </c:pt>
                <c:pt idx="545">
                  <c:v>45286</c:v>
                </c:pt>
                <c:pt idx="546">
                  <c:v>45287</c:v>
                </c:pt>
                <c:pt idx="547">
                  <c:v>45288</c:v>
                </c:pt>
                <c:pt idx="548">
                  <c:v>45289</c:v>
                </c:pt>
                <c:pt idx="549">
                  <c:v>45293</c:v>
                </c:pt>
                <c:pt idx="550">
                  <c:v>45294</c:v>
                </c:pt>
                <c:pt idx="551">
                  <c:v>45295</c:v>
                </c:pt>
                <c:pt idx="552">
                  <c:v>45296</c:v>
                </c:pt>
                <c:pt idx="553">
                  <c:v>45299</c:v>
                </c:pt>
                <c:pt idx="554">
                  <c:v>45300</c:v>
                </c:pt>
                <c:pt idx="555">
                  <c:v>45301</c:v>
                </c:pt>
                <c:pt idx="556">
                  <c:v>45302</c:v>
                </c:pt>
                <c:pt idx="557">
                  <c:v>45303</c:v>
                </c:pt>
                <c:pt idx="558">
                  <c:v>45306</c:v>
                </c:pt>
                <c:pt idx="559">
                  <c:v>45307</c:v>
                </c:pt>
                <c:pt idx="560">
                  <c:v>45308</c:v>
                </c:pt>
                <c:pt idx="561">
                  <c:v>45309</c:v>
                </c:pt>
                <c:pt idx="562">
                  <c:v>45310</c:v>
                </c:pt>
                <c:pt idx="563">
                  <c:v>45313</c:v>
                </c:pt>
                <c:pt idx="564">
                  <c:v>45314</c:v>
                </c:pt>
                <c:pt idx="565">
                  <c:v>45315</c:v>
                </c:pt>
                <c:pt idx="566">
                  <c:v>45316</c:v>
                </c:pt>
                <c:pt idx="567">
                  <c:v>45317</c:v>
                </c:pt>
                <c:pt idx="568">
                  <c:v>45320</c:v>
                </c:pt>
                <c:pt idx="569">
                  <c:v>45321</c:v>
                </c:pt>
                <c:pt idx="570">
                  <c:v>45322</c:v>
                </c:pt>
                <c:pt idx="571">
                  <c:v>45323</c:v>
                </c:pt>
                <c:pt idx="572">
                  <c:v>45324</c:v>
                </c:pt>
                <c:pt idx="573">
                  <c:v>45328</c:v>
                </c:pt>
                <c:pt idx="574">
                  <c:v>45329</c:v>
                </c:pt>
                <c:pt idx="575">
                  <c:v>45330</c:v>
                </c:pt>
                <c:pt idx="576">
                  <c:v>45331</c:v>
                </c:pt>
                <c:pt idx="577">
                  <c:v>45334</c:v>
                </c:pt>
                <c:pt idx="578">
                  <c:v>45335</c:v>
                </c:pt>
                <c:pt idx="579">
                  <c:v>45336</c:v>
                </c:pt>
                <c:pt idx="580">
                  <c:v>45337</c:v>
                </c:pt>
                <c:pt idx="581">
                  <c:v>45338</c:v>
                </c:pt>
                <c:pt idx="582">
                  <c:v>45341</c:v>
                </c:pt>
                <c:pt idx="583">
                  <c:v>45342</c:v>
                </c:pt>
                <c:pt idx="584">
                  <c:v>45343</c:v>
                </c:pt>
                <c:pt idx="585">
                  <c:v>45344</c:v>
                </c:pt>
                <c:pt idx="586">
                  <c:v>45345</c:v>
                </c:pt>
                <c:pt idx="587">
                  <c:v>45348</c:v>
                </c:pt>
                <c:pt idx="588">
                  <c:v>45349</c:v>
                </c:pt>
                <c:pt idx="589">
                  <c:v>45350</c:v>
                </c:pt>
                <c:pt idx="590">
                  <c:v>45351</c:v>
                </c:pt>
                <c:pt idx="591">
                  <c:v>45352</c:v>
                </c:pt>
                <c:pt idx="592">
                  <c:v>45355</c:v>
                </c:pt>
                <c:pt idx="593">
                  <c:v>45356</c:v>
                </c:pt>
                <c:pt idx="594">
                  <c:v>45357</c:v>
                </c:pt>
                <c:pt idx="595">
                  <c:v>45358</c:v>
                </c:pt>
                <c:pt idx="596">
                  <c:v>45359</c:v>
                </c:pt>
                <c:pt idx="597">
                  <c:v>45362</c:v>
                </c:pt>
                <c:pt idx="598">
                  <c:v>45363</c:v>
                </c:pt>
                <c:pt idx="599">
                  <c:v>45364</c:v>
                </c:pt>
                <c:pt idx="600">
                  <c:v>45365</c:v>
                </c:pt>
                <c:pt idx="601">
                  <c:v>45366</c:v>
                </c:pt>
                <c:pt idx="602">
                  <c:v>45370</c:v>
                </c:pt>
                <c:pt idx="603">
                  <c:v>45371</c:v>
                </c:pt>
                <c:pt idx="604">
                  <c:v>45372</c:v>
                </c:pt>
                <c:pt idx="605">
                  <c:v>45373</c:v>
                </c:pt>
                <c:pt idx="606">
                  <c:v>45376</c:v>
                </c:pt>
                <c:pt idx="607">
                  <c:v>45377</c:v>
                </c:pt>
                <c:pt idx="608">
                  <c:v>45378</c:v>
                </c:pt>
                <c:pt idx="609">
                  <c:v>45383</c:v>
                </c:pt>
                <c:pt idx="610">
                  <c:v>45384</c:v>
                </c:pt>
                <c:pt idx="611">
                  <c:v>45385</c:v>
                </c:pt>
                <c:pt idx="612">
                  <c:v>45386</c:v>
                </c:pt>
                <c:pt idx="613">
                  <c:v>45387</c:v>
                </c:pt>
                <c:pt idx="614">
                  <c:v>45390</c:v>
                </c:pt>
                <c:pt idx="615">
                  <c:v>45391</c:v>
                </c:pt>
                <c:pt idx="616">
                  <c:v>45392</c:v>
                </c:pt>
                <c:pt idx="617">
                  <c:v>45393</c:v>
                </c:pt>
                <c:pt idx="618">
                  <c:v>45394</c:v>
                </c:pt>
                <c:pt idx="619">
                  <c:v>45397</c:v>
                </c:pt>
                <c:pt idx="620">
                  <c:v>45398</c:v>
                </c:pt>
                <c:pt idx="621">
                  <c:v>45399</c:v>
                </c:pt>
                <c:pt idx="622">
                  <c:v>45400</c:v>
                </c:pt>
                <c:pt idx="623">
                  <c:v>45401</c:v>
                </c:pt>
                <c:pt idx="624">
                  <c:v>45404</c:v>
                </c:pt>
                <c:pt idx="625">
                  <c:v>45405</c:v>
                </c:pt>
                <c:pt idx="626">
                  <c:v>45406</c:v>
                </c:pt>
                <c:pt idx="627">
                  <c:v>45407</c:v>
                </c:pt>
                <c:pt idx="628">
                  <c:v>45408</c:v>
                </c:pt>
                <c:pt idx="629">
                  <c:v>45411</c:v>
                </c:pt>
                <c:pt idx="630">
                  <c:v>45412</c:v>
                </c:pt>
                <c:pt idx="631">
                  <c:v>45414</c:v>
                </c:pt>
                <c:pt idx="632">
                  <c:v>45415</c:v>
                </c:pt>
                <c:pt idx="633">
                  <c:v>45418</c:v>
                </c:pt>
                <c:pt idx="634">
                  <c:v>45419</c:v>
                </c:pt>
                <c:pt idx="635">
                  <c:v>45420</c:v>
                </c:pt>
                <c:pt idx="636">
                  <c:v>45421</c:v>
                </c:pt>
                <c:pt idx="637">
                  <c:v>45422</c:v>
                </c:pt>
                <c:pt idx="638">
                  <c:v>45425</c:v>
                </c:pt>
                <c:pt idx="639">
                  <c:v>45426</c:v>
                </c:pt>
                <c:pt idx="640">
                  <c:v>45427</c:v>
                </c:pt>
                <c:pt idx="641">
                  <c:v>45428</c:v>
                </c:pt>
                <c:pt idx="642">
                  <c:v>45429</c:v>
                </c:pt>
                <c:pt idx="643">
                  <c:v>45432</c:v>
                </c:pt>
                <c:pt idx="644">
                  <c:v>45433</c:v>
                </c:pt>
                <c:pt idx="645">
                  <c:v>45434</c:v>
                </c:pt>
                <c:pt idx="646">
                  <c:v>45435</c:v>
                </c:pt>
                <c:pt idx="647">
                  <c:v>45436</c:v>
                </c:pt>
                <c:pt idx="648">
                  <c:v>45439</c:v>
                </c:pt>
                <c:pt idx="649">
                  <c:v>45440</c:v>
                </c:pt>
                <c:pt idx="650">
                  <c:v>45441</c:v>
                </c:pt>
                <c:pt idx="651">
                  <c:v>45442</c:v>
                </c:pt>
                <c:pt idx="652">
                  <c:v>45443</c:v>
                </c:pt>
                <c:pt idx="653">
                  <c:v>45446</c:v>
                </c:pt>
                <c:pt idx="654">
                  <c:v>45447</c:v>
                </c:pt>
                <c:pt idx="655">
                  <c:v>45448</c:v>
                </c:pt>
                <c:pt idx="656">
                  <c:v>45449</c:v>
                </c:pt>
                <c:pt idx="657">
                  <c:v>45450</c:v>
                </c:pt>
                <c:pt idx="658">
                  <c:v>45453</c:v>
                </c:pt>
                <c:pt idx="659">
                  <c:v>45454</c:v>
                </c:pt>
                <c:pt idx="660">
                  <c:v>45455</c:v>
                </c:pt>
                <c:pt idx="661">
                  <c:v>45456</c:v>
                </c:pt>
                <c:pt idx="662">
                  <c:v>45457</c:v>
                </c:pt>
                <c:pt idx="663">
                  <c:v>45460</c:v>
                </c:pt>
                <c:pt idx="664">
                  <c:v>45461</c:v>
                </c:pt>
                <c:pt idx="665">
                  <c:v>45462</c:v>
                </c:pt>
                <c:pt idx="666">
                  <c:v>45463</c:v>
                </c:pt>
                <c:pt idx="667">
                  <c:v>45464</c:v>
                </c:pt>
                <c:pt idx="668">
                  <c:v>45467</c:v>
                </c:pt>
              </c:numCache>
            </c:numRef>
          </c:xVal>
          <c:yVal>
            <c:numRef>
              <c:f>Activo1!$F$2:$F$670</c:f>
              <c:numCache>
                <c:formatCode>General</c:formatCode>
                <c:ptCount val="669"/>
                <c:pt idx="0" formatCode="&quot;$&quot;#,##0.00">
                  <c:v>3458.5639649999998</c:v>
                </c:pt>
                <c:pt idx="1">
                  <c:v>3510.9960940000001</c:v>
                </c:pt>
                <c:pt idx="2">
                  <c:v>3461.6960450000001</c:v>
                </c:pt>
                <c:pt idx="3">
                  <c:v>3446.032471</c:v>
                </c:pt>
                <c:pt idx="4">
                  <c:v>3487.2246089999999</c:v>
                </c:pt>
                <c:pt idx="5">
                  <c:v>3580.2109380000002</c:v>
                </c:pt>
                <c:pt idx="6">
                  <c:v>3578.5290530000002</c:v>
                </c:pt>
                <c:pt idx="7">
                  <c:v>3561</c:v>
                </c:pt>
                <c:pt idx="8">
                  <c:v>3628.935547</c:v>
                </c:pt>
                <c:pt idx="9">
                  <c:v>3581.3015140000002</c:v>
                </c:pt>
                <c:pt idx="10">
                  <c:v>3595.5043949999999</c:v>
                </c:pt>
                <c:pt idx="11">
                  <c:v>3617.2810060000002</c:v>
                </c:pt>
                <c:pt idx="12">
                  <c:v>3671.6999510000001</c:v>
                </c:pt>
                <c:pt idx="13">
                  <c:v>3672</c:v>
                </c:pt>
                <c:pt idx="14">
                  <c:v>3842.6264649999998</c:v>
                </c:pt>
                <c:pt idx="15">
                  <c:v>3843.1599120000001</c:v>
                </c:pt>
                <c:pt idx="16">
                  <c:v>3763.6145019999999</c:v>
                </c:pt>
                <c:pt idx="17">
                  <c:v>3795.4645999999998</c:v>
                </c:pt>
                <c:pt idx="18">
                  <c:v>3828.5</c:v>
                </c:pt>
                <c:pt idx="19">
                  <c:v>3828.5</c:v>
                </c:pt>
                <c:pt idx="20">
                  <c:v>3835</c:v>
                </c:pt>
                <c:pt idx="21">
                  <c:v>3874.4499510000001</c:v>
                </c:pt>
                <c:pt idx="22">
                  <c:v>3765.318115</c:v>
                </c:pt>
                <c:pt idx="23">
                  <c:v>3688.0495609999998</c:v>
                </c:pt>
                <c:pt idx="24">
                  <c:v>3673.6364749999998</c:v>
                </c:pt>
                <c:pt idx="25">
                  <c:v>3600.3779300000001</c:v>
                </c:pt>
                <c:pt idx="26">
                  <c:v>3647.3615719999998</c:v>
                </c:pt>
                <c:pt idx="27">
                  <c:v>3698.4785160000001</c:v>
                </c:pt>
                <c:pt idx="28">
                  <c:v>3694.5</c:v>
                </c:pt>
                <c:pt idx="29">
                  <c:v>3657.568115</c:v>
                </c:pt>
                <c:pt idx="30">
                  <c:v>3585.0004880000001</c:v>
                </c:pt>
                <c:pt idx="31">
                  <c:v>3570</c:v>
                </c:pt>
                <c:pt idx="32">
                  <c:v>3585.9304200000001</c:v>
                </c:pt>
                <c:pt idx="33">
                  <c:v>3625</c:v>
                </c:pt>
                <c:pt idx="34">
                  <c:v>3510</c:v>
                </c:pt>
                <c:pt idx="35">
                  <c:v>3527.75</c:v>
                </c:pt>
                <c:pt idx="36">
                  <c:v>3456.5</c:v>
                </c:pt>
                <c:pt idx="37">
                  <c:v>3537.8535160000001</c:v>
                </c:pt>
                <c:pt idx="38">
                  <c:v>3542.4499510000001</c:v>
                </c:pt>
                <c:pt idx="39">
                  <c:v>3538.5</c:v>
                </c:pt>
                <c:pt idx="40">
                  <c:v>3538.5</c:v>
                </c:pt>
                <c:pt idx="41">
                  <c:v>3520.2565920000002</c:v>
                </c:pt>
                <c:pt idx="42">
                  <c:v>3528.3400879999999</c:v>
                </c:pt>
                <c:pt idx="43">
                  <c:v>3482.25</c:v>
                </c:pt>
                <c:pt idx="44">
                  <c:v>3481.75</c:v>
                </c:pt>
                <c:pt idx="45">
                  <c:v>3425.1499020000001</c:v>
                </c:pt>
                <c:pt idx="46">
                  <c:v>3499.8125</c:v>
                </c:pt>
                <c:pt idx="47">
                  <c:v>3442.5</c:v>
                </c:pt>
                <c:pt idx="48">
                  <c:v>3400</c:v>
                </c:pt>
                <c:pt idx="49">
                  <c:v>3347.5795899999998</c:v>
                </c:pt>
                <c:pt idx="50">
                  <c:v>3317.8029790000001</c:v>
                </c:pt>
                <c:pt idx="51">
                  <c:v>3274.75</c:v>
                </c:pt>
                <c:pt idx="52">
                  <c:v>3374.5</c:v>
                </c:pt>
                <c:pt idx="53">
                  <c:v>3359.25</c:v>
                </c:pt>
                <c:pt idx="54">
                  <c:v>3287.7915039999998</c:v>
                </c:pt>
                <c:pt idx="55">
                  <c:v>3285</c:v>
                </c:pt>
                <c:pt idx="56">
                  <c:v>3285</c:v>
                </c:pt>
                <c:pt idx="57">
                  <c:v>3246.922607</c:v>
                </c:pt>
                <c:pt idx="58">
                  <c:v>3214.75</c:v>
                </c:pt>
                <c:pt idx="59">
                  <c:v>3115.6999510000001</c:v>
                </c:pt>
                <c:pt idx="60">
                  <c:v>2933.2849120000001</c:v>
                </c:pt>
                <c:pt idx="61">
                  <c:v>2960.4404300000001</c:v>
                </c:pt>
                <c:pt idx="62">
                  <c:v>2890.9499510000001</c:v>
                </c:pt>
                <c:pt idx="63">
                  <c:v>2880.429443</c:v>
                </c:pt>
                <c:pt idx="64">
                  <c:v>2919.2370609999998</c:v>
                </c:pt>
                <c:pt idx="65">
                  <c:v>2966.75</c:v>
                </c:pt>
                <c:pt idx="66">
                  <c:v>3081.0900879999999</c:v>
                </c:pt>
                <c:pt idx="67">
                  <c:v>3094.8154300000001</c:v>
                </c:pt>
                <c:pt idx="68">
                  <c:v>3086.3635250000002</c:v>
                </c:pt>
                <c:pt idx="69">
                  <c:v>2870.0109859999998</c:v>
                </c:pt>
                <c:pt idx="70">
                  <c:v>3318</c:v>
                </c:pt>
                <c:pt idx="71">
                  <c:v>3329.2280270000001</c:v>
                </c:pt>
                <c:pt idx="72">
                  <c:v>3299.7924800000001</c:v>
                </c:pt>
                <c:pt idx="73">
                  <c:v>3259.1184079999998</c:v>
                </c:pt>
                <c:pt idx="74">
                  <c:v>3151.5839839999999</c:v>
                </c:pt>
                <c:pt idx="75">
                  <c:v>3166.75</c:v>
                </c:pt>
                <c:pt idx="76">
                  <c:v>3179.6684570000002</c:v>
                </c:pt>
                <c:pt idx="77">
                  <c:v>3217.5</c:v>
                </c:pt>
                <c:pt idx="78">
                  <c:v>3149.2055660000001</c:v>
                </c:pt>
                <c:pt idx="79">
                  <c:v>3109.235107</c:v>
                </c:pt>
                <c:pt idx="80">
                  <c:v>3109.235107</c:v>
                </c:pt>
                <c:pt idx="81">
                  <c:v>3052.264404</c:v>
                </c:pt>
                <c:pt idx="82">
                  <c:v>2936.4235840000001</c:v>
                </c:pt>
                <c:pt idx="83">
                  <c:v>3106.2333979999999</c:v>
                </c:pt>
                <c:pt idx="84">
                  <c:v>3126.8249510000001</c:v>
                </c:pt>
                <c:pt idx="85">
                  <c:v>3112.1499020000001</c:v>
                </c:pt>
                <c:pt idx="86">
                  <c:v>3112.1499020000001</c:v>
                </c:pt>
                <c:pt idx="87">
                  <c:v>3142.5</c:v>
                </c:pt>
                <c:pt idx="88">
                  <c:v>3059.5495609999998</c:v>
                </c:pt>
                <c:pt idx="89">
                  <c:v>3041.6918949999999</c:v>
                </c:pt>
                <c:pt idx="90">
                  <c:v>2942.0500489999999</c:v>
                </c:pt>
                <c:pt idx="91">
                  <c:v>2913.423096</c:v>
                </c:pt>
                <c:pt idx="92">
                  <c:v>2905.5</c:v>
                </c:pt>
                <c:pt idx="93">
                  <c:v>3096.6640630000002</c:v>
                </c:pt>
                <c:pt idx="94">
                  <c:v>3051.4035640000002</c:v>
                </c:pt>
                <c:pt idx="95">
                  <c:v>2969.3334960000002</c:v>
                </c:pt>
                <c:pt idx="96">
                  <c:v>3078.25</c:v>
                </c:pt>
                <c:pt idx="97">
                  <c:v>3145</c:v>
                </c:pt>
                <c:pt idx="98">
                  <c:v>3221.939453</c:v>
                </c:pt>
                <c:pt idx="99">
                  <c:v>3274.732422</c:v>
                </c:pt>
                <c:pt idx="100">
                  <c:v>3352.4909670000002</c:v>
                </c:pt>
                <c:pt idx="101">
                  <c:v>3318.5</c:v>
                </c:pt>
                <c:pt idx="102">
                  <c:v>3278.25</c:v>
                </c:pt>
                <c:pt idx="103">
                  <c:v>3293.389893</c:v>
                </c:pt>
                <c:pt idx="104">
                  <c:v>3392.9575199999999</c:v>
                </c:pt>
                <c:pt idx="105">
                  <c:v>3389.919922</c:v>
                </c:pt>
                <c:pt idx="106">
                  <c:v>3299.1835940000001</c:v>
                </c:pt>
                <c:pt idx="107">
                  <c:v>3287.25</c:v>
                </c:pt>
                <c:pt idx="108">
                  <c:v>3241.469482</c:v>
                </c:pt>
                <c:pt idx="109">
                  <c:v>3327.0439449999999</c:v>
                </c:pt>
                <c:pt idx="110">
                  <c:v>3263.3535160000001</c:v>
                </c:pt>
                <c:pt idx="111">
                  <c:v>3212.9990229999999</c:v>
                </c:pt>
                <c:pt idx="112">
                  <c:v>3187.2915039999998</c:v>
                </c:pt>
                <c:pt idx="113">
                  <c:v>3104.5</c:v>
                </c:pt>
                <c:pt idx="114">
                  <c:v>3014.6000979999999</c:v>
                </c:pt>
                <c:pt idx="115">
                  <c:v>2989.6403810000002</c:v>
                </c:pt>
                <c:pt idx="116">
                  <c:v>3057.0500489999999</c:v>
                </c:pt>
                <c:pt idx="117">
                  <c:v>3055</c:v>
                </c:pt>
                <c:pt idx="118">
                  <c:v>3175.0024410000001</c:v>
                </c:pt>
                <c:pt idx="119">
                  <c:v>3090</c:v>
                </c:pt>
                <c:pt idx="120">
                  <c:v>2994.205078</c:v>
                </c:pt>
                <c:pt idx="121">
                  <c:v>2929.8000489999999</c:v>
                </c:pt>
                <c:pt idx="122">
                  <c:v>2948.4135740000002</c:v>
                </c:pt>
                <c:pt idx="123">
                  <c:v>2848.2810060000002</c:v>
                </c:pt>
                <c:pt idx="124">
                  <c:v>2814.6520999999998</c:v>
                </c:pt>
                <c:pt idx="125">
                  <c:v>2964.2614749999998</c:v>
                </c:pt>
                <c:pt idx="126">
                  <c:v>2517.4045409999999</c:v>
                </c:pt>
                <c:pt idx="127">
                  <c:v>2526.8869629999999</c:v>
                </c:pt>
                <c:pt idx="128">
                  <c:v>2507.758057</c:v>
                </c:pt>
                <c:pt idx="129">
                  <c:v>2515.4365229999999</c:v>
                </c:pt>
                <c:pt idx="130">
                  <c:v>2346.3029790000001</c:v>
                </c:pt>
                <c:pt idx="131">
                  <c:v>2315.75</c:v>
                </c:pt>
                <c:pt idx="132">
                  <c:v>2209.5</c:v>
                </c:pt>
                <c:pt idx="133">
                  <c:v>2217.4121089999999</c:v>
                </c:pt>
                <c:pt idx="134">
                  <c:v>2142.804932</c:v>
                </c:pt>
                <c:pt idx="135">
                  <c:v>2155</c:v>
                </c:pt>
                <c:pt idx="136">
                  <c:v>2265.5920409999999</c:v>
                </c:pt>
                <c:pt idx="137">
                  <c:v>2217.7590329999998</c:v>
                </c:pt>
                <c:pt idx="138">
                  <c:v>2297.3515630000002</c:v>
                </c:pt>
                <c:pt idx="139">
                  <c:v>2144.2285160000001</c:v>
                </c:pt>
                <c:pt idx="140">
                  <c:v>2141</c:v>
                </c:pt>
                <c:pt idx="141">
                  <c:v>2108</c:v>
                </c:pt>
                <c:pt idx="142">
                  <c:v>2129.0048830000001</c:v>
                </c:pt>
                <c:pt idx="143">
                  <c:v>2063</c:v>
                </c:pt>
                <c:pt idx="144">
                  <c:v>2111.8950199999999</c:v>
                </c:pt>
                <c:pt idx="145">
                  <c:v>2207.5729980000001</c:v>
                </c:pt>
                <c:pt idx="146">
                  <c:v>2245</c:v>
                </c:pt>
                <c:pt idx="147">
                  <c:v>2245</c:v>
                </c:pt>
                <c:pt idx="148">
                  <c:v>2385.2390140000002</c:v>
                </c:pt>
                <c:pt idx="149">
                  <c:v>2424.0290530000002</c:v>
                </c:pt>
                <c:pt idx="150">
                  <c:v>2447.7089839999999</c:v>
                </c:pt>
                <c:pt idx="151">
                  <c:v>2391.3559570000002</c:v>
                </c:pt>
                <c:pt idx="152">
                  <c:v>2434.8500979999999</c:v>
                </c:pt>
                <c:pt idx="153">
                  <c:v>2404.360107</c:v>
                </c:pt>
                <c:pt idx="154">
                  <c:v>2372.8400879999999</c:v>
                </c:pt>
                <c:pt idx="155">
                  <c:v>2291.830078</c:v>
                </c:pt>
                <c:pt idx="156">
                  <c:v>2195.8701169999999</c:v>
                </c:pt>
                <c:pt idx="157">
                  <c:v>2125.6298830000001</c:v>
                </c:pt>
                <c:pt idx="158">
                  <c:v>2110.8999020000001</c:v>
                </c:pt>
                <c:pt idx="159">
                  <c:v>2185.5200199999999</c:v>
                </c:pt>
                <c:pt idx="160">
                  <c:v>2113.1599120000001</c:v>
                </c:pt>
                <c:pt idx="161">
                  <c:v>2162.360107</c:v>
                </c:pt>
                <c:pt idx="162">
                  <c:v>2175</c:v>
                </c:pt>
                <c:pt idx="163">
                  <c:v>2189.429932</c:v>
                </c:pt>
                <c:pt idx="164">
                  <c:v>2178.5600589999999</c:v>
                </c:pt>
                <c:pt idx="165">
                  <c:v>2256.889893</c:v>
                </c:pt>
                <c:pt idx="166">
                  <c:v>2297.530029</c:v>
                </c:pt>
                <c:pt idx="167">
                  <c:v>2252.25</c:v>
                </c:pt>
                <c:pt idx="168">
                  <c:v>2164.4499510000001</c:v>
                </c:pt>
                <c:pt idx="169">
                  <c:v>2192.719971</c:v>
                </c:pt>
                <c:pt idx="170">
                  <c:v>2134.540039</c:v>
                </c:pt>
                <c:pt idx="171">
                  <c:v>2214.429932</c:v>
                </c:pt>
                <c:pt idx="172">
                  <c:v>2214.429932</c:v>
                </c:pt>
                <c:pt idx="173">
                  <c:v>2331.820068</c:v>
                </c:pt>
                <c:pt idx="174">
                  <c:v>2361.0200199999999</c:v>
                </c:pt>
                <c:pt idx="175">
                  <c:v>2388.4399410000001</c:v>
                </c:pt>
                <c:pt idx="176">
                  <c:v>2362.7700199999999</c:v>
                </c:pt>
                <c:pt idx="177">
                  <c:v>2317.5</c:v>
                </c:pt>
                <c:pt idx="178">
                  <c:v>2282.889893</c:v>
                </c:pt>
                <c:pt idx="179">
                  <c:v>2296.3000489999999</c:v>
                </c:pt>
                <c:pt idx="180">
                  <c:v>2299.3100589999999</c:v>
                </c:pt>
                <c:pt idx="181">
                  <c:v>2333.830078</c:v>
                </c:pt>
                <c:pt idx="182">
                  <c:v>2328.3400879999999</c:v>
                </c:pt>
                <c:pt idx="183">
                  <c:v>2424.5</c:v>
                </c:pt>
                <c:pt idx="184">
                  <c:v>2521.110107</c:v>
                </c:pt>
                <c:pt idx="185">
                  <c:v>2576.0200199999999</c:v>
                </c:pt>
                <c:pt idx="186">
                  <c:v>2516.3701169999999</c:v>
                </c:pt>
                <c:pt idx="187">
                  <c:v>2474.360107</c:v>
                </c:pt>
                <c:pt idx="188">
                  <c:v>2352.110107</c:v>
                </c:pt>
                <c:pt idx="189">
                  <c:v>2465.889893</c:v>
                </c:pt>
                <c:pt idx="190">
                  <c:v>2470.330078</c:v>
                </c:pt>
                <c:pt idx="191">
                  <c:v>2762.0600589999999</c:v>
                </c:pt>
                <c:pt idx="192">
                  <c:v>2756.9099120000001</c:v>
                </c:pt>
                <c:pt idx="193">
                  <c:v>2789.639893</c:v>
                </c:pt>
                <c:pt idx="194">
                  <c:v>2866.929932</c:v>
                </c:pt>
                <c:pt idx="195">
                  <c:v>2896.1999510000001</c:v>
                </c:pt>
                <c:pt idx="196">
                  <c:v>2866.3999020000001</c:v>
                </c:pt>
                <c:pt idx="197">
                  <c:v>2820.76001</c:v>
                </c:pt>
                <c:pt idx="198">
                  <c:v>2789.959961</c:v>
                </c:pt>
                <c:pt idx="199">
                  <c:v>2861.169922</c:v>
                </c:pt>
                <c:pt idx="200">
                  <c:v>2804.7700199999999</c:v>
                </c:pt>
                <c:pt idx="201">
                  <c:v>2836.8798830000001</c:v>
                </c:pt>
                <c:pt idx="202">
                  <c:v>2838.280029</c:v>
                </c:pt>
                <c:pt idx="203">
                  <c:v>2887.2299800000001</c:v>
                </c:pt>
                <c:pt idx="204">
                  <c:v>2836.719971</c:v>
                </c:pt>
                <c:pt idx="205">
                  <c:v>2861.3999020000001</c:v>
                </c:pt>
                <c:pt idx="206">
                  <c:v>2792.790039</c:v>
                </c:pt>
                <c:pt idx="207">
                  <c:v>2684.4499510000001</c:v>
                </c:pt>
                <c:pt idx="208">
                  <c:v>2669.209961</c:v>
                </c:pt>
                <c:pt idx="209">
                  <c:v>2673.2700199999999</c:v>
                </c:pt>
                <c:pt idx="210">
                  <c:v>2724.5200199999999</c:v>
                </c:pt>
                <c:pt idx="211">
                  <c:v>2624</c:v>
                </c:pt>
                <c:pt idx="212">
                  <c:v>2619.4799800000001</c:v>
                </c:pt>
                <c:pt idx="213">
                  <c:v>2591.639893</c:v>
                </c:pt>
                <c:pt idx="214">
                  <c:v>2563.2299800000001</c:v>
                </c:pt>
                <c:pt idx="215">
                  <c:v>2578.6298830000001</c:v>
                </c:pt>
                <c:pt idx="216">
                  <c:v>2537.26001</c:v>
                </c:pt>
                <c:pt idx="217">
                  <c:v>2545</c:v>
                </c:pt>
                <c:pt idx="218">
                  <c:v>2538.610107</c:v>
                </c:pt>
                <c:pt idx="219">
                  <c:v>2585.469971</c:v>
                </c:pt>
                <c:pt idx="220">
                  <c:v>2581.9099120000001</c:v>
                </c:pt>
                <c:pt idx="221">
                  <c:v>2654.6899410000001</c:v>
                </c:pt>
                <c:pt idx="222">
                  <c:v>2708.48999</c:v>
                </c:pt>
                <c:pt idx="223">
                  <c:v>2547.5500489999999</c:v>
                </c:pt>
                <c:pt idx="224">
                  <c:v>2561.3999020000001</c:v>
                </c:pt>
                <c:pt idx="225">
                  <c:v>2531.8798830000001</c:v>
                </c:pt>
                <c:pt idx="226">
                  <c:v>2476.330078</c:v>
                </c:pt>
                <c:pt idx="227">
                  <c:v>2447.5600589999999</c:v>
                </c:pt>
                <c:pt idx="228">
                  <c:v>2376.1599120000001</c:v>
                </c:pt>
                <c:pt idx="229">
                  <c:v>2360.1000979999999</c:v>
                </c:pt>
                <c:pt idx="230">
                  <c:v>2296.4099120000001</c:v>
                </c:pt>
                <c:pt idx="231">
                  <c:v>2350.8701169999999</c:v>
                </c:pt>
                <c:pt idx="232">
                  <c:v>2342.0900879999999</c:v>
                </c:pt>
                <c:pt idx="233">
                  <c:v>2387.030029</c:v>
                </c:pt>
                <c:pt idx="234">
                  <c:v>2317.2299800000001</c:v>
                </c:pt>
                <c:pt idx="235">
                  <c:v>2284.330078</c:v>
                </c:pt>
                <c:pt idx="236">
                  <c:v>2318.1499020000001</c:v>
                </c:pt>
                <c:pt idx="237">
                  <c:v>2410.419922</c:v>
                </c:pt>
                <c:pt idx="238">
                  <c:v>2434.6298830000001</c:v>
                </c:pt>
                <c:pt idx="239">
                  <c:v>2421.2299800000001</c:v>
                </c:pt>
                <c:pt idx="240">
                  <c:v>2295.9499510000001</c:v>
                </c:pt>
                <c:pt idx="241">
                  <c:v>2278.110107</c:v>
                </c:pt>
                <c:pt idx="242">
                  <c:v>2258.209961</c:v>
                </c:pt>
                <c:pt idx="243">
                  <c:v>2262.8100589999999</c:v>
                </c:pt>
                <c:pt idx="244">
                  <c:v>2252.3100589999999</c:v>
                </c:pt>
                <c:pt idx="245">
                  <c:v>2152.1298830000001</c:v>
                </c:pt>
                <c:pt idx="246">
                  <c:v>2281.4499510000001</c:v>
                </c:pt>
                <c:pt idx="247">
                  <c:v>2324.1000979999999</c:v>
                </c:pt>
                <c:pt idx="248">
                  <c:v>2306.820068</c:v>
                </c:pt>
                <c:pt idx="249">
                  <c:v>2315.1899410000001</c:v>
                </c:pt>
                <c:pt idx="250">
                  <c:v>2377.1298830000001</c:v>
                </c:pt>
                <c:pt idx="251">
                  <c:v>2389.1599120000001</c:v>
                </c:pt>
                <c:pt idx="252">
                  <c:v>2399.429932</c:v>
                </c:pt>
                <c:pt idx="253">
                  <c:v>2307.7700199999999</c:v>
                </c:pt>
                <c:pt idx="254">
                  <c:v>2201.889893</c:v>
                </c:pt>
                <c:pt idx="255">
                  <c:v>2043.0699460000001</c:v>
                </c:pt>
                <c:pt idx="256">
                  <c:v>2026.9300539999999</c:v>
                </c:pt>
                <c:pt idx="257">
                  <c:v>1909.280029</c:v>
                </c:pt>
                <c:pt idx="258">
                  <c:v>1763.880005</c:v>
                </c:pt>
                <c:pt idx="259">
                  <c:v>1773.829956</c:v>
                </c:pt>
                <c:pt idx="260">
                  <c:v>1761.6899410000001</c:v>
                </c:pt>
                <c:pt idx="261">
                  <c:v>1770.040039</c:v>
                </c:pt>
                <c:pt idx="262">
                  <c:v>1688.76001</c:v>
                </c:pt>
                <c:pt idx="263">
                  <c:v>1863.23999</c:v>
                </c:pt>
                <c:pt idx="264">
                  <c:v>1964.1099850000001</c:v>
                </c:pt>
                <c:pt idx="265">
                  <c:v>1904.670044</c:v>
                </c:pt>
                <c:pt idx="266">
                  <c:v>1915.630005</c:v>
                </c:pt>
                <c:pt idx="267">
                  <c:v>1884.030029</c:v>
                </c:pt>
                <c:pt idx="268">
                  <c:v>1838.6999510000001</c:v>
                </c:pt>
                <c:pt idx="269">
                  <c:v>1831.0500489999999</c:v>
                </c:pt>
                <c:pt idx="270">
                  <c:v>1807</c:v>
                </c:pt>
                <c:pt idx="271">
                  <c:v>1822.410034</c:v>
                </c:pt>
                <c:pt idx="272">
                  <c:v>1857.660034</c:v>
                </c:pt>
                <c:pt idx="273">
                  <c:v>1809.4300539999999</c:v>
                </c:pt>
                <c:pt idx="274">
                  <c:v>1808.410034</c:v>
                </c:pt>
                <c:pt idx="275">
                  <c:v>1778.5500489999999</c:v>
                </c:pt>
                <c:pt idx="276">
                  <c:v>1848.98999</c:v>
                </c:pt>
                <c:pt idx="277">
                  <c:v>1829.709961</c:v>
                </c:pt>
                <c:pt idx="278">
                  <c:v>1822.709961</c:v>
                </c:pt>
                <c:pt idx="279">
                  <c:v>1794.8199460000001</c:v>
                </c:pt>
                <c:pt idx="280">
                  <c:v>1748.920044</c:v>
                </c:pt>
                <c:pt idx="281">
                  <c:v>1738.790039</c:v>
                </c:pt>
                <c:pt idx="282">
                  <c:v>1773.780029</c:v>
                </c:pt>
                <c:pt idx="283">
                  <c:v>1765.0500489999999</c:v>
                </c:pt>
                <c:pt idx="284">
                  <c:v>1811.650024</c:v>
                </c:pt>
                <c:pt idx="285">
                  <c:v>1802.599976</c:v>
                </c:pt>
                <c:pt idx="286">
                  <c:v>1741.3599850000001</c:v>
                </c:pt>
                <c:pt idx="287">
                  <c:v>1738.619995</c:v>
                </c:pt>
                <c:pt idx="288">
                  <c:v>1681.4300539999999</c:v>
                </c:pt>
                <c:pt idx="289">
                  <c:v>1684.349976</c:v>
                </c:pt>
                <c:pt idx="290">
                  <c:v>1704.75</c:v>
                </c:pt>
                <c:pt idx="291">
                  <c:v>1633.48999</c:v>
                </c:pt>
                <c:pt idx="292">
                  <c:v>1650.369995</c:v>
                </c:pt>
                <c:pt idx="293">
                  <c:v>1664.5699460000001</c:v>
                </c:pt>
                <c:pt idx="294">
                  <c:v>1622.089966</c:v>
                </c:pt>
                <c:pt idx="295">
                  <c:v>1592.670044</c:v>
                </c:pt>
                <c:pt idx="296">
                  <c:v>1641</c:v>
                </c:pt>
                <c:pt idx="297">
                  <c:v>1634.3000489999999</c:v>
                </c:pt>
                <c:pt idx="298">
                  <c:v>1659.5</c:v>
                </c:pt>
                <c:pt idx="299">
                  <c:v>1668.650024</c:v>
                </c:pt>
                <c:pt idx="300">
                  <c:v>1642.589966</c:v>
                </c:pt>
                <c:pt idx="301">
                  <c:v>1612.040039</c:v>
                </c:pt>
                <c:pt idx="302">
                  <c:v>1649.119995</c:v>
                </c:pt>
                <c:pt idx="303">
                  <c:v>1673.7700199999999</c:v>
                </c:pt>
                <c:pt idx="304">
                  <c:v>1710.9300539999999</c:v>
                </c:pt>
                <c:pt idx="305">
                  <c:v>1798.3599850000001</c:v>
                </c:pt>
                <c:pt idx="306">
                  <c:v>1791.880005</c:v>
                </c:pt>
                <c:pt idx="307">
                  <c:v>1840.6999510000001</c:v>
                </c:pt>
                <c:pt idx="308">
                  <c:v>1871</c:v>
                </c:pt>
                <c:pt idx="309">
                  <c:v>1792.900024</c:v>
                </c:pt>
                <c:pt idx="310">
                  <c:v>1808.1400149999999</c:v>
                </c:pt>
                <c:pt idx="311">
                  <c:v>1778.7299800000001</c:v>
                </c:pt>
                <c:pt idx="312">
                  <c:v>1832.530029</c:v>
                </c:pt>
                <c:pt idx="313">
                  <c:v>1831.630005</c:v>
                </c:pt>
                <c:pt idx="314">
                  <c:v>1812.0200199999999</c:v>
                </c:pt>
                <c:pt idx="315">
                  <c:v>1819.880005</c:v>
                </c:pt>
                <c:pt idx="316">
                  <c:v>1860.1800539999999</c:v>
                </c:pt>
                <c:pt idx="317">
                  <c:v>1923.849976</c:v>
                </c:pt>
                <c:pt idx="318">
                  <c:v>1888.530029</c:v>
                </c:pt>
                <c:pt idx="319">
                  <c:v>1935.880005</c:v>
                </c:pt>
                <c:pt idx="320">
                  <c:v>1963.030029</c:v>
                </c:pt>
                <c:pt idx="321">
                  <c:v>2091.320068</c:v>
                </c:pt>
                <c:pt idx="322">
                  <c:v>1951.910034</c:v>
                </c:pt>
                <c:pt idx="323">
                  <c:v>1928.969971</c:v>
                </c:pt>
                <c:pt idx="324">
                  <c:v>1896.829956</c:v>
                </c:pt>
                <c:pt idx="325">
                  <c:v>1842.599976</c:v>
                </c:pt>
                <c:pt idx="326">
                  <c:v>1822.5500489999999</c:v>
                </c:pt>
                <c:pt idx="327">
                  <c:v>1842.7700199999999</c:v>
                </c:pt>
                <c:pt idx="328">
                  <c:v>1841.920044</c:v>
                </c:pt>
                <c:pt idx="329">
                  <c:v>1875.349976</c:v>
                </c:pt>
                <c:pt idx="330">
                  <c:v>1825.790039</c:v>
                </c:pt>
                <c:pt idx="331">
                  <c:v>1783.0500489999999</c:v>
                </c:pt>
                <c:pt idx="332">
                  <c:v>1785.5</c:v>
                </c:pt>
                <c:pt idx="333">
                  <c:v>1747.48999</c:v>
                </c:pt>
                <c:pt idx="334">
                  <c:v>1755.6099850000001</c:v>
                </c:pt>
                <c:pt idx="335">
                  <c:v>1758.7700199999999</c:v>
                </c:pt>
                <c:pt idx="336">
                  <c:v>1709.23999</c:v>
                </c:pt>
                <c:pt idx="337">
                  <c:v>1718.7700199999999</c:v>
                </c:pt>
                <c:pt idx="338">
                  <c:v>1726</c:v>
                </c:pt>
                <c:pt idx="339">
                  <c:v>1667.9799800000001</c:v>
                </c:pt>
                <c:pt idx="340">
                  <c:v>1669.349976</c:v>
                </c:pt>
                <c:pt idx="341">
                  <c:v>1701.089966</c:v>
                </c:pt>
                <c:pt idx="342">
                  <c:v>1693.900024</c:v>
                </c:pt>
                <c:pt idx="343">
                  <c:v>1694.280029</c:v>
                </c:pt>
                <c:pt idx="344">
                  <c:v>1684.839966</c:v>
                </c:pt>
                <c:pt idx="345">
                  <c:v>1694.9300539999999</c:v>
                </c:pt>
                <c:pt idx="346">
                  <c:v>1673.25</c:v>
                </c:pt>
                <c:pt idx="347">
                  <c:v>1752.089966</c:v>
                </c:pt>
                <c:pt idx="348">
                  <c:v>1754.829956</c:v>
                </c:pt>
                <c:pt idx="349">
                  <c:v>1826</c:v>
                </c:pt>
                <c:pt idx="350">
                  <c:v>1870.920044</c:v>
                </c:pt>
                <c:pt idx="351">
                  <c:v>1867.51001</c:v>
                </c:pt>
                <c:pt idx="352">
                  <c:v>1874.0500489999999</c:v>
                </c:pt>
                <c:pt idx="353">
                  <c:v>1842.3599850000001</c:v>
                </c:pt>
                <c:pt idx="354">
                  <c:v>1847.6400149999999</c:v>
                </c:pt>
                <c:pt idx="355">
                  <c:v>1808.6800539999999</c:v>
                </c:pt>
                <c:pt idx="356">
                  <c:v>1805.380005</c:v>
                </c:pt>
                <c:pt idx="357">
                  <c:v>1771.8199460000001</c:v>
                </c:pt>
                <c:pt idx="358">
                  <c:v>1813.660034</c:v>
                </c:pt>
                <c:pt idx="359">
                  <c:v>1845.219971</c:v>
                </c:pt>
                <c:pt idx="360">
                  <c:v>1856.410034</c:v>
                </c:pt>
                <c:pt idx="361">
                  <c:v>1850.3900149999999</c:v>
                </c:pt>
                <c:pt idx="362">
                  <c:v>1880.1899410000001</c:v>
                </c:pt>
                <c:pt idx="363">
                  <c:v>1857.6400149999999</c:v>
                </c:pt>
                <c:pt idx="364">
                  <c:v>1848.719971</c:v>
                </c:pt>
                <c:pt idx="365">
                  <c:v>1815.579956</c:v>
                </c:pt>
                <c:pt idx="366">
                  <c:v>1771.4799800000001</c:v>
                </c:pt>
                <c:pt idx="367">
                  <c:v>1843.5</c:v>
                </c:pt>
                <c:pt idx="368">
                  <c:v>1846.25</c:v>
                </c:pt>
                <c:pt idx="369">
                  <c:v>1850.5500489999999</c:v>
                </c:pt>
                <c:pt idx="370">
                  <c:v>1844.339966</c:v>
                </c:pt>
                <c:pt idx="371">
                  <c:v>1883.400024</c:v>
                </c:pt>
                <c:pt idx="372">
                  <c:v>1870.579956</c:v>
                </c:pt>
                <c:pt idx="373">
                  <c:v>1920.0200199999999</c:v>
                </c:pt>
                <c:pt idx="374">
                  <c:v>1905</c:v>
                </c:pt>
                <c:pt idx="375">
                  <c:v>1864.7299800000001</c:v>
                </c:pt>
                <c:pt idx="376">
                  <c:v>1906.380005</c:v>
                </c:pt>
                <c:pt idx="377">
                  <c:v>1981.48999</c:v>
                </c:pt>
                <c:pt idx="378">
                  <c:v>1904.1899410000001</c:v>
                </c:pt>
                <c:pt idx="379">
                  <c:v>1865.170044</c:v>
                </c:pt>
                <c:pt idx="380">
                  <c:v>1860.98999</c:v>
                </c:pt>
                <c:pt idx="381">
                  <c:v>1863.969971</c:v>
                </c:pt>
                <c:pt idx="382">
                  <c:v>1875.209961</c:v>
                </c:pt>
                <c:pt idx="383">
                  <c:v>1885.8000489999999</c:v>
                </c:pt>
                <c:pt idx="384">
                  <c:v>1891.099976</c:v>
                </c:pt>
                <c:pt idx="385">
                  <c:v>1937.0500489999999</c:v>
                </c:pt>
                <c:pt idx="386">
                  <c:v>1976.6999510000001</c:v>
                </c:pt>
                <c:pt idx="387">
                  <c:v>1934.2299800000001</c:v>
                </c:pt>
                <c:pt idx="388">
                  <c:v>1936.6899410000001</c:v>
                </c:pt>
                <c:pt idx="389">
                  <c:v>1984.8900149999999</c:v>
                </c:pt>
                <c:pt idx="390">
                  <c:v>2030.5600589999999</c:v>
                </c:pt>
                <c:pt idx="391">
                  <c:v>2086.8798830000001</c:v>
                </c:pt>
                <c:pt idx="392">
                  <c:v>2058.5</c:v>
                </c:pt>
                <c:pt idx="393">
                  <c:v>2055.7700199999999</c:v>
                </c:pt>
                <c:pt idx="394">
                  <c:v>2069.0500489999999</c:v>
                </c:pt>
                <c:pt idx="395">
                  <c:v>2077.969971</c:v>
                </c:pt>
                <c:pt idx="396">
                  <c:v>2053.25</c:v>
                </c:pt>
                <c:pt idx="397">
                  <c:v>2109.469971</c:v>
                </c:pt>
                <c:pt idx="398">
                  <c:v>2150</c:v>
                </c:pt>
                <c:pt idx="399">
                  <c:v>2148.0600589999999</c:v>
                </c:pt>
                <c:pt idx="400">
                  <c:v>2134.9499510000001</c:v>
                </c:pt>
                <c:pt idx="401">
                  <c:v>2150</c:v>
                </c:pt>
                <c:pt idx="402">
                  <c:v>2180.8100589999999</c:v>
                </c:pt>
                <c:pt idx="403">
                  <c:v>2187.280029</c:v>
                </c:pt>
                <c:pt idx="404">
                  <c:v>2202.3500979999999</c:v>
                </c:pt>
                <c:pt idx="405">
                  <c:v>2101.3000489999999</c:v>
                </c:pt>
                <c:pt idx="406">
                  <c:v>2157.3999020000001</c:v>
                </c:pt>
                <c:pt idx="407">
                  <c:v>2134.959961</c:v>
                </c:pt>
                <c:pt idx="408">
                  <c:v>2181.860107</c:v>
                </c:pt>
                <c:pt idx="409">
                  <c:v>2174.8400879999999</c:v>
                </c:pt>
                <c:pt idx="410">
                  <c:v>2155.8999020000001</c:v>
                </c:pt>
                <c:pt idx="411">
                  <c:v>2174.4399410000001</c:v>
                </c:pt>
                <c:pt idx="412">
                  <c:v>2145.76001</c:v>
                </c:pt>
                <c:pt idx="413">
                  <c:v>2146</c:v>
                </c:pt>
                <c:pt idx="414">
                  <c:v>2164.320068</c:v>
                </c:pt>
                <c:pt idx="415">
                  <c:v>2137.530029</c:v>
                </c:pt>
                <c:pt idx="416">
                  <c:v>2233.8500979999999</c:v>
                </c:pt>
                <c:pt idx="417">
                  <c:v>2222.280029</c:v>
                </c:pt>
                <c:pt idx="418">
                  <c:v>2188.3100589999999</c:v>
                </c:pt>
                <c:pt idx="419">
                  <c:v>2207.6201169999999</c:v>
                </c:pt>
                <c:pt idx="420">
                  <c:v>2201.9799800000001</c:v>
                </c:pt>
                <c:pt idx="421">
                  <c:v>2192.6999510000001</c:v>
                </c:pt>
                <c:pt idx="422">
                  <c:v>2232.4799800000001</c:v>
                </c:pt>
                <c:pt idx="423">
                  <c:v>2220</c:v>
                </c:pt>
                <c:pt idx="424">
                  <c:v>2223</c:v>
                </c:pt>
                <c:pt idx="425">
                  <c:v>2220.959961</c:v>
                </c:pt>
                <c:pt idx="426">
                  <c:v>2209.709961</c:v>
                </c:pt>
                <c:pt idx="427">
                  <c:v>2225.469971</c:v>
                </c:pt>
                <c:pt idx="428">
                  <c:v>2168.929932</c:v>
                </c:pt>
                <c:pt idx="429">
                  <c:v>2189.860107</c:v>
                </c:pt>
                <c:pt idx="430">
                  <c:v>2212.9099120000001</c:v>
                </c:pt>
                <c:pt idx="431">
                  <c:v>2263.5</c:v>
                </c:pt>
                <c:pt idx="432">
                  <c:v>2249.23999</c:v>
                </c:pt>
                <c:pt idx="433">
                  <c:v>2237.1899410000001</c:v>
                </c:pt>
                <c:pt idx="434">
                  <c:v>2229.7299800000001</c:v>
                </c:pt>
                <c:pt idx="435">
                  <c:v>2267.1599120000001</c:v>
                </c:pt>
                <c:pt idx="436">
                  <c:v>2203.8701169999999</c:v>
                </c:pt>
                <c:pt idx="437">
                  <c:v>2199.919922</c:v>
                </c:pt>
                <c:pt idx="438">
                  <c:v>2167.8400879999999</c:v>
                </c:pt>
                <c:pt idx="439">
                  <c:v>2184.790039</c:v>
                </c:pt>
                <c:pt idx="440">
                  <c:v>2156.320068</c:v>
                </c:pt>
                <c:pt idx="441">
                  <c:v>2164.2299800000001</c:v>
                </c:pt>
                <c:pt idx="442">
                  <c:v>2209.580078</c:v>
                </c:pt>
                <c:pt idx="443">
                  <c:v>2232.7299800000001</c:v>
                </c:pt>
                <c:pt idx="444">
                  <c:v>2224.4799800000001</c:v>
                </c:pt>
                <c:pt idx="445">
                  <c:v>2187.169922</c:v>
                </c:pt>
                <c:pt idx="446">
                  <c:v>2226.6298830000001</c:v>
                </c:pt>
                <c:pt idx="447">
                  <c:v>2390.030029</c:v>
                </c:pt>
                <c:pt idx="448">
                  <c:v>2421.4399410000001</c:v>
                </c:pt>
                <c:pt idx="449">
                  <c:v>2389.919922</c:v>
                </c:pt>
                <c:pt idx="450">
                  <c:v>2356.9399410000001</c:v>
                </c:pt>
                <c:pt idx="451">
                  <c:v>2354.6499020000001</c:v>
                </c:pt>
                <c:pt idx="452">
                  <c:v>2353.4799800000001</c:v>
                </c:pt>
                <c:pt idx="453">
                  <c:v>2389.98999</c:v>
                </c:pt>
                <c:pt idx="454">
                  <c:v>2356.23999</c:v>
                </c:pt>
                <c:pt idx="455">
                  <c:v>2314.929932</c:v>
                </c:pt>
                <c:pt idx="456">
                  <c:v>2292.9399410000001</c:v>
                </c:pt>
                <c:pt idx="457">
                  <c:v>2278.959961</c:v>
                </c:pt>
                <c:pt idx="458">
                  <c:v>2291.6899410000001</c:v>
                </c:pt>
                <c:pt idx="459">
                  <c:v>2266.25</c:v>
                </c:pt>
                <c:pt idx="460">
                  <c:v>2269.8500979999999</c:v>
                </c:pt>
                <c:pt idx="461">
                  <c:v>2223.969971</c:v>
                </c:pt>
                <c:pt idx="462">
                  <c:v>2225.8798830000001</c:v>
                </c:pt>
                <c:pt idx="463">
                  <c:v>2228.790039</c:v>
                </c:pt>
                <c:pt idx="464">
                  <c:v>2264.3798830000001</c:v>
                </c:pt>
                <c:pt idx="465">
                  <c:v>2273.080078</c:v>
                </c:pt>
                <c:pt idx="466">
                  <c:v>2349.219971</c:v>
                </c:pt>
                <c:pt idx="467">
                  <c:v>2356.290039</c:v>
                </c:pt>
                <c:pt idx="468">
                  <c:v>2338</c:v>
                </c:pt>
                <c:pt idx="469">
                  <c:v>2388.219971</c:v>
                </c:pt>
                <c:pt idx="470">
                  <c:v>2381.26001</c:v>
                </c:pt>
                <c:pt idx="471">
                  <c:v>2421.5200199999999</c:v>
                </c:pt>
                <c:pt idx="472">
                  <c:v>2427.969971</c:v>
                </c:pt>
                <c:pt idx="473">
                  <c:v>2479.389893</c:v>
                </c:pt>
                <c:pt idx="474">
                  <c:v>2438.5900879999999</c:v>
                </c:pt>
                <c:pt idx="475">
                  <c:v>2477.959961</c:v>
                </c:pt>
                <c:pt idx="476">
                  <c:v>2477.25</c:v>
                </c:pt>
                <c:pt idx="477">
                  <c:v>2396.969971</c:v>
                </c:pt>
                <c:pt idx="478">
                  <c:v>2389.6599120000001</c:v>
                </c:pt>
                <c:pt idx="479">
                  <c:v>2349.719971</c:v>
                </c:pt>
                <c:pt idx="480">
                  <c:v>2314.6999510000001</c:v>
                </c:pt>
                <c:pt idx="481">
                  <c:v>2252.0500489999999</c:v>
                </c:pt>
                <c:pt idx="482">
                  <c:v>2220.0600589999999</c:v>
                </c:pt>
                <c:pt idx="483">
                  <c:v>2278.9799800000001</c:v>
                </c:pt>
                <c:pt idx="484">
                  <c:v>2207.830078</c:v>
                </c:pt>
                <c:pt idx="485">
                  <c:v>2228.4399410000001</c:v>
                </c:pt>
                <c:pt idx="486">
                  <c:v>2210.76001</c:v>
                </c:pt>
                <c:pt idx="487">
                  <c:v>2211.1298830000001</c:v>
                </c:pt>
                <c:pt idx="488">
                  <c:v>2279.889893</c:v>
                </c:pt>
                <c:pt idx="489">
                  <c:v>2237.1298830000001</c:v>
                </c:pt>
                <c:pt idx="490">
                  <c:v>2285.330078</c:v>
                </c:pt>
                <c:pt idx="491">
                  <c:v>2295.75</c:v>
                </c:pt>
                <c:pt idx="492">
                  <c:v>2324.5</c:v>
                </c:pt>
                <c:pt idx="493">
                  <c:v>2328.320068</c:v>
                </c:pt>
                <c:pt idx="494">
                  <c:v>2320.6599120000001</c:v>
                </c:pt>
                <c:pt idx="495">
                  <c:v>2349.3100589999999</c:v>
                </c:pt>
                <c:pt idx="496">
                  <c:v>2377.040039</c:v>
                </c:pt>
                <c:pt idx="497">
                  <c:v>2341.919922</c:v>
                </c:pt>
                <c:pt idx="498">
                  <c:v>2374.1599120000001</c:v>
                </c:pt>
                <c:pt idx="499">
                  <c:v>2364.540039</c:v>
                </c:pt>
                <c:pt idx="500">
                  <c:v>2341.6201169999999</c:v>
                </c:pt>
                <c:pt idx="501">
                  <c:v>2345.290039</c:v>
                </c:pt>
                <c:pt idx="502">
                  <c:v>2286.5600589999999</c:v>
                </c:pt>
                <c:pt idx="503">
                  <c:v>2302.540039</c:v>
                </c:pt>
                <c:pt idx="504">
                  <c:v>2345.26001</c:v>
                </c:pt>
                <c:pt idx="505">
                  <c:v>2225.459961</c:v>
                </c:pt>
                <c:pt idx="506">
                  <c:v>2174.540039</c:v>
                </c:pt>
                <c:pt idx="507">
                  <c:v>2309.2700199999999</c:v>
                </c:pt>
                <c:pt idx="508">
                  <c:v>2395.169922</c:v>
                </c:pt>
                <c:pt idx="509">
                  <c:v>2396.1201169999999</c:v>
                </c:pt>
                <c:pt idx="510">
                  <c:v>2439.5600589999999</c:v>
                </c:pt>
                <c:pt idx="511">
                  <c:v>2419.3400879999999</c:v>
                </c:pt>
                <c:pt idx="512">
                  <c:v>2440.179932</c:v>
                </c:pt>
                <c:pt idx="513">
                  <c:v>2500</c:v>
                </c:pt>
                <c:pt idx="514">
                  <c:v>2487.8999020000001</c:v>
                </c:pt>
                <c:pt idx="515">
                  <c:v>2506.4499510000001</c:v>
                </c:pt>
                <c:pt idx="516">
                  <c:v>2530.51001</c:v>
                </c:pt>
                <c:pt idx="517">
                  <c:v>2505.9499510000001</c:v>
                </c:pt>
                <c:pt idx="518">
                  <c:v>2534.639893</c:v>
                </c:pt>
                <c:pt idx="519">
                  <c:v>2479.5600589999999</c:v>
                </c:pt>
                <c:pt idx="520">
                  <c:v>2463.6599120000001</c:v>
                </c:pt>
                <c:pt idx="521">
                  <c:v>2495.5500489999999</c:v>
                </c:pt>
                <c:pt idx="522">
                  <c:v>2469.330078</c:v>
                </c:pt>
                <c:pt idx="523">
                  <c:v>2516.76001</c:v>
                </c:pt>
                <c:pt idx="524">
                  <c:v>2501.0500489999999</c:v>
                </c:pt>
                <c:pt idx="525">
                  <c:v>2527.01001</c:v>
                </c:pt>
                <c:pt idx="526">
                  <c:v>2544.669922</c:v>
                </c:pt>
                <c:pt idx="527">
                  <c:v>2517.1999510000001</c:v>
                </c:pt>
                <c:pt idx="528">
                  <c:v>2538.0200199999999</c:v>
                </c:pt>
                <c:pt idx="529">
                  <c:v>2526.73999</c:v>
                </c:pt>
                <c:pt idx="530">
                  <c:v>2532</c:v>
                </c:pt>
                <c:pt idx="531">
                  <c:v>2529.6999510000001</c:v>
                </c:pt>
                <c:pt idx="532">
                  <c:v>2550.75</c:v>
                </c:pt>
                <c:pt idx="533">
                  <c:v>2500.3000489999999</c:v>
                </c:pt>
                <c:pt idx="534">
                  <c:v>2561.8999020000001</c:v>
                </c:pt>
                <c:pt idx="535">
                  <c:v>2558.8701169999999</c:v>
                </c:pt>
                <c:pt idx="536">
                  <c:v>2548.98999</c:v>
                </c:pt>
                <c:pt idx="537">
                  <c:v>2559.5200199999999</c:v>
                </c:pt>
                <c:pt idx="538">
                  <c:v>2528.8798830000001</c:v>
                </c:pt>
                <c:pt idx="539">
                  <c:v>2585.5200199999999</c:v>
                </c:pt>
                <c:pt idx="540">
                  <c:v>2654.5</c:v>
                </c:pt>
                <c:pt idx="541">
                  <c:v>2622.8999020000001</c:v>
                </c:pt>
                <c:pt idx="542">
                  <c:v>2611.76001</c:v>
                </c:pt>
                <c:pt idx="543">
                  <c:v>2611.429932</c:v>
                </c:pt>
                <c:pt idx="544">
                  <c:v>2614.219971</c:v>
                </c:pt>
                <c:pt idx="545">
                  <c:v>2605.139893</c:v>
                </c:pt>
                <c:pt idx="546">
                  <c:v>2594</c:v>
                </c:pt>
                <c:pt idx="547">
                  <c:v>2609.360107</c:v>
                </c:pt>
                <c:pt idx="548">
                  <c:v>2581.75</c:v>
                </c:pt>
                <c:pt idx="549">
                  <c:v>2548.919922</c:v>
                </c:pt>
                <c:pt idx="550">
                  <c:v>2537.330078</c:v>
                </c:pt>
                <c:pt idx="551">
                  <c:v>2462.570068</c:v>
                </c:pt>
                <c:pt idx="552">
                  <c:v>2446.610107</c:v>
                </c:pt>
                <c:pt idx="553">
                  <c:v>2509.8798830000001</c:v>
                </c:pt>
                <c:pt idx="554">
                  <c:v>2565.9499510000001</c:v>
                </c:pt>
                <c:pt idx="555">
                  <c:v>2605.070068</c:v>
                </c:pt>
                <c:pt idx="556">
                  <c:v>2620.919922</c:v>
                </c:pt>
                <c:pt idx="557">
                  <c:v>2601.280029</c:v>
                </c:pt>
                <c:pt idx="558">
                  <c:v>2595.98999</c:v>
                </c:pt>
                <c:pt idx="559">
                  <c:v>2633.780029</c:v>
                </c:pt>
                <c:pt idx="560">
                  <c:v>2609.01001</c:v>
                </c:pt>
                <c:pt idx="561">
                  <c:v>2636.26001</c:v>
                </c:pt>
                <c:pt idx="562">
                  <c:v>2655.040039</c:v>
                </c:pt>
                <c:pt idx="563">
                  <c:v>2655.73999</c:v>
                </c:pt>
                <c:pt idx="564">
                  <c:v>2700.9399410000001</c:v>
                </c:pt>
                <c:pt idx="565">
                  <c:v>2706.040039</c:v>
                </c:pt>
                <c:pt idx="566">
                  <c:v>2707.030029</c:v>
                </c:pt>
                <c:pt idx="567">
                  <c:v>2729.2299800000001</c:v>
                </c:pt>
                <c:pt idx="568">
                  <c:v>2770.6599120000001</c:v>
                </c:pt>
                <c:pt idx="569">
                  <c:v>2728.1499020000001</c:v>
                </c:pt>
                <c:pt idx="570">
                  <c:v>2672.75</c:v>
                </c:pt>
                <c:pt idx="571">
                  <c:v>2715.25</c:v>
                </c:pt>
                <c:pt idx="572">
                  <c:v>2940.3500979999999</c:v>
                </c:pt>
                <c:pt idx="573">
                  <c:v>2878.8798830000001</c:v>
                </c:pt>
                <c:pt idx="574">
                  <c:v>2910.6599120000001</c:v>
                </c:pt>
                <c:pt idx="575">
                  <c:v>2914.73999</c:v>
                </c:pt>
                <c:pt idx="576">
                  <c:v>2981.610107</c:v>
                </c:pt>
                <c:pt idx="577">
                  <c:v>2946.6201169999999</c:v>
                </c:pt>
                <c:pt idx="578">
                  <c:v>2900.889893</c:v>
                </c:pt>
                <c:pt idx="579">
                  <c:v>2920.429932</c:v>
                </c:pt>
                <c:pt idx="580">
                  <c:v>2894.9399410000001</c:v>
                </c:pt>
                <c:pt idx="581">
                  <c:v>2890.5</c:v>
                </c:pt>
                <c:pt idx="582">
                  <c:v>2879.9799800000001</c:v>
                </c:pt>
                <c:pt idx="583">
                  <c:v>2848.1499020000001</c:v>
                </c:pt>
                <c:pt idx="584">
                  <c:v>2871.290039</c:v>
                </c:pt>
                <c:pt idx="585">
                  <c:v>2986.25</c:v>
                </c:pt>
                <c:pt idx="586">
                  <c:v>2996.6499020000001</c:v>
                </c:pt>
                <c:pt idx="587">
                  <c:v>2983.3100589999999</c:v>
                </c:pt>
                <c:pt idx="588">
                  <c:v>2960.0900879999999</c:v>
                </c:pt>
                <c:pt idx="589">
                  <c:v>2957.8100589999999</c:v>
                </c:pt>
                <c:pt idx="590">
                  <c:v>2992.9099120000001</c:v>
                </c:pt>
                <c:pt idx="591">
                  <c:v>3036.3999020000001</c:v>
                </c:pt>
                <c:pt idx="592">
                  <c:v>3015.860107</c:v>
                </c:pt>
                <c:pt idx="593">
                  <c:v>2946.9799800000001</c:v>
                </c:pt>
                <c:pt idx="594">
                  <c:v>2939.23999</c:v>
                </c:pt>
                <c:pt idx="595">
                  <c:v>2992.419922</c:v>
                </c:pt>
                <c:pt idx="596">
                  <c:v>2946.6599120000001</c:v>
                </c:pt>
                <c:pt idx="597">
                  <c:v>2891.8400879999999</c:v>
                </c:pt>
                <c:pt idx="598">
                  <c:v>2952.48999</c:v>
                </c:pt>
                <c:pt idx="599">
                  <c:v>2947.070068</c:v>
                </c:pt>
                <c:pt idx="600">
                  <c:v>2972.2700199999999</c:v>
                </c:pt>
                <c:pt idx="601">
                  <c:v>2924.4799800000001</c:v>
                </c:pt>
                <c:pt idx="602">
                  <c:v>2955.459961</c:v>
                </c:pt>
                <c:pt idx="603">
                  <c:v>2970.080078</c:v>
                </c:pt>
                <c:pt idx="604">
                  <c:v>2980.3500979999999</c:v>
                </c:pt>
                <c:pt idx="605">
                  <c:v>2995.48999</c:v>
                </c:pt>
                <c:pt idx="606">
                  <c:v>3002.040039</c:v>
                </c:pt>
                <c:pt idx="607">
                  <c:v>2969.4399410000001</c:v>
                </c:pt>
                <c:pt idx="608">
                  <c:v>2977.570068</c:v>
                </c:pt>
                <c:pt idx="609">
                  <c:v>3006.820068</c:v>
                </c:pt>
                <c:pt idx="610">
                  <c:v>2991.8999020000001</c:v>
                </c:pt>
                <c:pt idx="611">
                  <c:v>3013.01001</c:v>
                </c:pt>
                <c:pt idx="612">
                  <c:v>2999.709961</c:v>
                </c:pt>
                <c:pt idx="613">
                  <c:v>3047.929932</c:v>
                </c:pt>
                <c:pt idx="614">
                  <c:v>3037.679932</c:v>
                </c:pt>
                <c:pt idx="615">
                  <c:v>3040.4799800000001</c:v>
                </c:pt>
                <c:pt idx="616">
                  <c:v>3053.8701169999999</c:v>
                </c:pt>
                <c:pt idx="617">
                  <c:v>3115.9099120000001</c:v>
                </c:pt>
                <c:pt idx="618">
                  <c:v>3096.070068</c:v>
                </c:pt>
                <c:pt idx="619">
                  <c:v>3067.5</c:v>
                </c:pt>
                <c:pt idx="620">
                  <c:v>3126.419922</c:v>
                </c:pt>
                <c:pt idx="621">
                  <c:v>3072.01001</c:v>
                </c:pt>
                <c:pt idx="622">
                  <c:v>3060.6599120000001</c:v>
                </c:pt>
                <c:pt idx="623">
                  <c:v>2982.4499510000001</c:v>
                </c:pt>
                <c:pt idx="624">
                  <c:v>3033.98999</c:v>
                </c:pt>
                <c:pt idx="625">
                  <c:v>3048.26001</c:v>
                </c:pt>
                <c:pt idx="626">
                  <c:v>3019.820068</c:v>
                </c:pt>
                <c:pt idx="627">
                  <c:v>2984.6999510000001</c:v>
                </c:pt>
                <c:pt idx="628">
                  <c:v>3079.389893</c:v>
                </c:pt>
                <c:pt idx="629">
                  <c:v>3075.3798830000001</c:v>
                </c:pt>
                <c:pt idx="630">
                  <c:v>3067.929932</c:v>
                </c:pt>
                <c:pt idx="631">
                  <c:v>3135.3999020000001</c:v>
                </c:pt>
                <c:pt idx="632">
                  <c:v>3159.110107</c:v>
                </c:pt>
                <c:pt idx="633">
                  <c:v>3171.419922</c:v>
                </c:pt>
                <c:pt idx="634">
                  <c:v>3181.98999</c:v>
                </c:pt>
                <c:pt idx="635">
                  <c:v>3174.3701169999999</c:v>
                </c:pt>
                <c:pt idx="636">
                  <c:v>3181.5</c:v>
                </c:pt>
                <c:pt idx="637">
                  <c:v>3149.610107</c:v>
                </c:pt>
                <c:pt idx="638">
                  <c:v>3130.1000979999999</c:v>
                </c:pt>
                <c:pt idx="639">
                  <c:v>3152.3100589999999</c:v>
                </c:pt>
                <c:pt idx="640">
                  <c:v>3103.830078</c:v>
                </c:pt>
                <c:pt idx="641">
                  <c:v>3061.080078</c:v>
                </c:pt>
                <c:pt idx="642">
                  <c:v>3064.610107</c:v>
                </c:pt>
                <c:pt idx="643">
                  <c:v>3037.9799800000001</c:v>
                </c:pt>
                <c:pt idx="644">
                  <c:v>3044.8000489999999</c:v>
                </c:pt>
                <c:pt idx="645">
                  <c:v>3040.9799800000001</c:v>
                </c:pt>
                <c:pt idx="646">
                  <c:v>3025.6298830000001</c:v>
                </c:pt>
                <c:pt idx="647">
                  <c:v>3015.4099120000001</c:v>
                </c:pt>
                <c:pt idx="648">
                  <c:v>3004</c:v>
                </c:pt>
                <c:pt idx="649">
                  <c:v>3053.51001</c:v>
                </c:pt>
                <c:pt idx="650">
                  <c:v>3084.830078</c:v>
                </c:pt>
                <c:pt idx="651">
                  <c:v>3037.7299800000001</c:v>
                </c:pt>
                <c:pt idx="652">
                  <c:v>2979.040039</c:v>
                </c:pt>
                <c:pt idx="653">
                  <c:v>3137.8999020000001</c:v>
                </c:pt>
                <c:pt idx="654">
                  <c:v>3203.6499020000001</c:v>
                </c:pt>
                <c:pt idx="655">
                  <c:v>3181.419922</c:v>
                </c:pt>
                <c:pt idx="656">
                  <c:v>3300.780029</c:v>
                </c:pt>
                <c:pt idx="657">
                  <c:v>3386.1899410000001</c:v>
                </c:pt>
                <c:pt idx="658">
                  <c:v>3418.639893</c:v>
                </c:pt>
                <c:pt idx="659">
                  <c:v>3455.6499020000001</c:v>
                </c:pt>
                <c:pt idx="660">
                  <c:v>3506.51001</c:v>
                </c:pt>
                <c:pt idx="661">
                  <c:v>3395.3500979999999</c:v>
                </c:pt>
                <c:pt idx="662">
                  <c:v>3380.6000979999999</c:v>
                </c:pt>
                <c:pt idx="663">
                  <c:v>3427.4799800000001</c:v>
                </c:pt>
                <c:pt idx="664">
                  <c:v>3362.51001</c:v>
                </c:pt>
                <c:pt idx="665">
                  <c:v>3365</c:v>
                </c:pt>
                <c:pt idx="666">
                  <c:v>3406.919922</c:v>
                </c:pt>
                <c:pt idx="667">
                  <c:v>3420.429932</c:v>
                </c:pt>
                <c:pt idx="668">
                  <c:v>3342.98999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45-4C34-8BC9-A87B9AF29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225824"/>
        <c:axId val="520431088"/>
      </c:scatterChart>
      <c:valAx>
        <c:axId val="523225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20431088"/>
        <c:crosses val="autoZero"/>
        <c:crossBetween val="midCat"/>
      </c:valAx>
      <c:valAx>
        <c:axId val="52043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23225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Frontera</a:t>
            </a:r>
            <a:r>
              <a:rPr lang="en-US" baseline="0"/>
              <a:t> Eficiente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901686784294934E-2"/>
          <c:y val="0.14570090119071002"/>
          <c:w val="0.87485138986760658"/>
          <c:h val="0.69716682467533475"/>
        </c:manualLayout>
      </c:layout>
      <c:scatterChart>
        <c:scatterStyle val="smoothMarker"/>
        <c:varyColors val="0"/>
        <c:ser>
          <c:idx val="0"/>
          <c:order val="0"/>
          <c:tx>
            <c:v>Frontera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Portafolios!$O$52:$O$93</c:f>
              <c:numCache>
                <c:formatCode>0.00%</c:formatCode>
                <c:ptCount val="42"/>
                <c:pt idx="0">
                  <c:v>0.56481742020635683</c:v>
                </c:pt>
                <c:pt idx="1">
                  <c:v>0.53674159377878017</c:v>
                </c:pt>
                <c:pt idx="2">
                  <c:v>0.50884132050906283</c:v>
                </c:pt>
                <c:pt idx="3">
                  <c:v>0.48114714076281201</c:v>
                </c:pt>
                <c:pt idx="4">
                  <c:v>0.45369679667444507</c:v>
                </c:pt>
                <c:pt idx="5">
                  <c:v>0.42653736788548446</c:v>
                </c:pt>
                <c:pt idx="6">
                  <c:v>0.39972815729480771</c:v>
                </c:pt>
                <c:pt idx="7">
                  <c:v>0.3733446181579812</c:v>
                </c:pt>
                <c:pt idx="8">
                  <c:v>0.3474837243992242</c:v>
                </c:pt>
                <c:pt idx="9">
                  <c:v>0.32227132075129505</c:v>
                </c:pt>
                <c:pt idx="10">
                  <c:v>0.29787212067733554</c:v>
                </c:pt>
                <c:pt idx="11">
                  <c:v>0.27450305465776359</c:v>
                </c:pt>
                <c:pt idx="12">
                  <c:v>0.25245036026449635</c:v>
                </c:pt>
                <c:pt idx="13">
                  <c:v>0.23208957844010542</c:v>
                </c:pt>
                <c:pt idx="14">
                  <c:v>0.21390439706779887</c:v>
                </c:pt>
                <c:pt idx="15">
                  <c:v>0.19849367846602126</c:v>
                </c:pt>
                <c:pt idx="16">
                  <c:v>0.18654629542986595</c:v>
                </c:pt>
                <c:pt idx="17">
                  <c:v>0.17875802339431462</c:v>
                </c:pt>
                <c:pt idx="18">
                  <c:v>0.17568287383430053</c:v>
                </c:pt>
                <c:pt idx="19">
                  <c:v>0.17564629510793173</c:v>
                </c:pt>
                <c:pt idx="20">
                  <c:v>0.17756588645096258</c:v>
                </c:pt>
                <c:pt idx="21">
                  <c:v>0.18425511267032571</c:v>
                </c:pt>
                <c:pt idx="22">
                  <c:v>0.19274760461492735</c:v>
                </c:pt>
                <c:pt idx="23">
                  <c:v>0.19525721420934397</c:v>
                </c:pt>
                <c:pt idx="24">
                  <c:v>0.20989507735541055</c:v>
                </c:pt>
                <c:pt idx="25">
                  <c:v>0.22746788330855602</c:v>
                </c:pt>
                <c:pt idx="26">
                  <c:v>0.24735089047205161</c:v>
                </c:pt>
                <c:pt idx="27">
                  <c:v>0.2690323748907551</c:v>
                </c:pt>
                <c:pt idx="28">
                  <c:v>0.29211214473726288</c:v>
                </c:pt>
                <c:pt idx="29">
                  <c:v>0.31628424258607707</c:v>
                </c:pt>
                <c:pt idx="30">
                  <c:v>0.34131667078403038</c:v>
                </c:pt>
                <c:pt idx="31">
                  <c:v>0.36703344267728638</c:v>
                </c:pt>
                <c:pt idx="32">
                  <c:v>0.39330033940182196</c:v>
                </c:pt>
                <c:pt idx="33">
                  <c:v>0.42001416231507804</c:v>
                </c:pt>
                <c:pt idx="34">
                  <c:v>0.44709480734905238</c:v>
                </c:pt>
                <c:pt idx="35">
                  <c:v>0.4744794701705613</c:v>
                </c:pt>
                <c:pt idx="36">
                  <c:v>0.50211841144274705</c:v>
                </c:pt>
                <c:pt idx="37">
                  <c:v>0.52997184948621556</c:v>
                </c:pt>
                <c:pt idx="38">
                  <c:v>0.55800766484654418</c:v>
                </c:pt>
                <c:pt idx="39">
                  <c:v>0.58619969076138834</c:v>
                </c:pt>
                <c:pt idx="40">
                  <c:v>0.61452642865185392</c:v>
                </c:pt>
                <c:pt idx="41">
                  <c:v>0.64297007412169505</c:v>
                </c:pt>
              </c:numCache>
            </c:numRef>
          </c:xVal>
          <c:yVal>
            <c:numRef>
              <c:f>Portafolios!$P$52:$P$93</c:f>
              <c:numCache>
                <c:formatCode>0.00%</c:formatCode>
                <c:ptCount val="42"/>
                <c:pt idx="0">
                  <c:v>-9.9999999999999756E-2</c:v>
                </c:pt>
                <c:pt idx="1">
                  <c:v>-7.9999999999999682E-2</c:v>
                </c:pt>
                <c:pt idx="2">
                  <c:v>-5.9999999999999665E-2</c:v>
                </c:pt>
                <c:pt idx="3">
                  <c:v>-3.9999999999999869E-2</c:v>
                </c:pt>
                <c:pt idx="4">
                  <c:v>-1.9999999999999962E-2</c:v>
                </c:pt>
                <c:pt idx="5">
                  <c:v>3.3306690738754696E-16</c:v>
                </c:pt>
                <c:pt idx="6">
                  <c:v>2.0000000000000129E-2</c:v>
                </c:pt>
                <c:pt idx="7">
                  <c:v>4.0000000000000258E-2</c:v>
                </c:pt>
                <c:pt idx="8">
                  <c:v>6.0000000000000081E-2</c:v>
                </c:pt>
                <c:pt idx="9">
                  <c:v>8.000000000000021E-2</c:v>
                </c:pt>
                <c:pt idx="10">
                  <c:v>0.10000000000000014</c:v>
                </c:pt>
                <c:pt idx="11">
                  <c:v>0.12000000000000013</c:v>
                </c:pt>
                <c:pt idx="12">
                  <c:v>0.1400000000000001</c:v>
                </c:pt>
                <c:pt idx="13">
                  <c:v>0.16000000000000011</c:v>
                </c:pt>
                <c:pt idx="14">
                  <c:v>0.18</c:v>
                </c:pt>
                <c:pt idx="15">
                  <c:v>0.2</c:v>
                </c:pt>
                <c:pt idx="16">
                  <c:v>0.22000000000000003</c:v>
                </c:pt>
                <c:pt idx="17">
                  <c:v>0.24</c:v>
                </c:pt>
                <c:pt idx="18">
                  <c:v>0.25999999999999995</c:v>
                </c:pt>
                <c:pt idx="19">
                  <c:v>0.26242025799480506</c:v>
                </c:pt>
                <c:pt idx="20">
                  <c:v>0.27999999999999997</c:v>
                </c:pt>
                <c:pt idx="21">
                  <c:v>0.3</c:v>
                </c:pt>
                <c:pt idx="22">
                  <c:v>0.31600747066924395</c:v>
                </c:pt>
                <c:pt idx="23">
                  <c:v>0.31999999999999995</c:v>
                </c:pt>
                <c:pt idx="24">
                  <c:v>0.33999999999999997</c:v>
                </c:pt>
                <c:pt idx="25">
                  <c:v>0.35999999999999993</c:v>
                </c:pt>
                <c:pt idx="26">
                  <c:v>0.38</c:v>
                </c:pt>
                <c:pt idx="27">
                  <c:v>0.39999999999999997</c:v>
                </c:pt>
                <c:pt idx="28">
                  <c:v>0.41999999999999993</c:v>
                </c:pt>
                <c:pt idx="29">
                  <c:v>0.44000000000000006</c:v>
                </c:pt>
                <c:pt idx="30">
                  <c:v>0.45999999999999996</c:v>
                </c:pt>
                <c:pt idx="31">
                  <c:v>0.4800000000000002</c:v>
                </c:pt>
                <c:pt idx="32">
                  <c:v>0.5</c:v>
                </c:pt>
                <c:pt idx="33">
                  <c:v>0.5199999999999998</c:v>
                </c:pt>
                <c:pt idx="34">
                  <c:v>0.54</c:v>
                </c:pt>
                <c:pt idx="35">
                  <c:v>0.56000000000000005</c:v>
                </c:pt>
                <c:pt idx="36">
                  <c:v>0.57999999999999985</c:v>
                </c:pt>
                <c:pt idx="37">
                  <c:v>0.59999999999999976</c:v>
                </c:pt>
                <c:pt idx="38">
                  <c:v>0.62</c:v>
                </c:pt>
                <c:pt idx="39">
                  <c:v>0.64</c:v>
                </c:pt>
                <c:pt idx="40">
                  <c:v>0.65999999999999992</c:v>
                </c:pt>
                <c:pt idx="41">
                  <c:v>0.67999999999999994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85-41C2-B9D3-2699BD0A493C}"/>
            </c:ext>
          </c:extLst>
        </c:ser>
        <c:ser>
          <c:idx val="1"/>
          <c:order val="1"/>
          <c:tx>
            <c:v>Port. Min. Riesgo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Portafolios!$P$38</c:f>
              <c:numCache>
                <c:formatCode>0.00%</c:formatCode>
                <c:ptCount val="1"/>
                <c:pt idx="0">
                  <c:v>0.17564629510793175</c:v>
                </c:pt>
              </c:numCache>
            </c:numRef>
          </c:xVal>
          <c:yVal>
            <c:numRef>
              <c:f>Portafolios!$O$38</c:f>
              <c:numCache>
                <c:formatCode>0.00%</c:formatCode>
                <c:ptCount val="1"/>
                <c:pt idx="0">
                  <c:v>0.26242025799480506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85-41C2-B9D3-2699BD0A493C}"/>
            </c:ext>
          </c:extLst>
        </c:ser>
        <c:ser>
          <c:idx val="2"/>
          <c:order val="2"/>
          <c:tx>
            <c:v>Port Max Sharpe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Portafolios!$P$45</c:f>
              <c:numCache>
                <c:formatCode>0.00%</c:formatCode>
                <c:ptCount val="1"/>
                <c:pt idx="0">
                  <c:v>0.19274760461492738</c:v>
                </c:pt>
              </c:numCache>
            </c:numRef>
          </c:xVal>
          <c:yVal>
            <c:numRef>
              <c:f>Portafolios!$O$45</c:f>
              <c:numCache>
                <c:formatCode>0.00%</c:formatCode>
                <c:ptCount val="1"/>
                <c:pt idx="0">
                  <c:v>0.31600747066924406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85-41C2-B9D3-2699BD0A493C}"/>
            </c:ext>
          </c:extLst>
        </c:ser>
        <c:ser>
          <c:idx val="3"/>
          <c:order val="3"/>
          <c:tx>
            <c:v>Factible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Portafolios!$O$71:$O$93</c:f>
              <c:numCache>
                <c:formatCode>0.00%</c:formatCode>
                <c:ptCount val="23"/>
                <c:pt idx="0">
                  <c:v>0.17564629510793173</c:v>
                </c:pt>
                <c:pt idx="1">
                  <c:v>0.17756588645096258</c:v>
                </c:pt>
                <c:pt idx="2">
                  <c:v>0.18425511267032571</c:v>
                </c:pt>
                <c:pt idx="3">
                  <c:v>0.19274760461492735</c:v>
                </c:pt>
                <c:pt idx="4">
                  <c:v>0.19525721420934397</c:v>
                </c:pt>
                <c:pt idx="5">
                  <c:v>0.20989507735541055</c:v>
                </c:pt>
                <c:pt idx="6">
                  <c:v>0.22746788330855602</c:v>
                </c:pt>
                <c:pt idx="7">
                  <c:v>0.24735089047205161</c:v>
                </c:pt>
                <c:pt idx="8">
                  <c:v>0.2690323748907551</c:v>
                </c:pt>
                <c:pt idx="9">
                  <c:v>0.29211214473726288</c:v>
                </c:pt>
                <c:pt idx="10">
                  <c:v>0.31628424258607707</c:v>
                </c:pt>
                <c:pt idx="11">
                  <c:v>0.34131667078403038</c:v>
                </c:pt>
                <c:pt idx="12">
                  <c:v>0.36703344267728638</c:v>
                </c:pt>
                <c:pt idx="13">
                  <c:v>0.39330033940182196</c:v>
                </c:pt>
                <c:pt idx="14">
                  <c:v>0.42001416231507804</c:v>
                </c:pt>
                <c:pt idx="15">
                  <c:v>0.44709480734905238</c:v>
                </c:pt>
                <c:pt idx="16">
                  <c:v>0.4744794701705613</c:v>
                </c:pt>
                <c:pt idx="17">
                  <c:v>0.50211841144274705</c:v>
                </c:pt>
                <c:pt idx="18">
                  <c:v>0.52997184948621556</c:v>
                </c:pt>
                <c:pt idx="19">
                  <c:v>0.55800766484654418</c:v>
                </c:pt>
                <c:pt idx="20">
                  <c:v>0.58619969076138834</c:v>
                </c:pt>
                <c:pt idx="21">
                  <c:v>0.61452642865185392</c:v>
                </c:pt>
                <c:pt idx="22">
                  <c:v>0.64297007412169505</c:v>
                </c:pt>
              </c:numCache>
            </c:numRef>
          </c:xVal>
          <c:yVal>
            <c:numRef>
              <c:f>Portafolios!$K$71:$K$93</c:f>
              <c:numCache>
                <c:formatCode>0.00%</c:formatCode>
                <c:ptCount val="23"/>
                <c:pt idx="0">
                  <c:v>0.26242025799480506</c:v>
                </c:pt>
                <c:pt idx="1">
                  <c:v>0.27999999999999997</c:v>
                </c:pt>
                <c:pt idx="2">
                  <c:v>0.3</c:v>
                </c:pt>
                <c:pt idx="3">
                  <c:v>0.31600747066924406</c:v>
                </c:pt>
                <c:pt idx="4">
                  <c:v>0.32</c:v>
                </c:pt>
                <c:pt idx="5">
                  <c:v>0.34</c:v>
                </c:pt>
                <c:pt idx="6">
                  <c:v>0.36000000000000004</c:v>
                </c:pt>
                <c:pt idx="7">
                  <c:v>0.38000000000000006</c:v>
                </c:pt>
                <c:pt idx="8">
                  <c:v>0.40000000000000008</c:v>
                </c:pt>
                <c:pt idx="9">
                  <c:v>0.4200000000000001</c:v>
                </c:pt>
                <c:pt idx="10">
                  <c:v>0.44000000000000011</c:v>
                </c:pt>
                <c:pt idx="11">
                  <c:v>0.46000000000000013</c:v>
                </c:pt>
                <c:pt idx="12">
                  <c:v>0.48000000000000015</c:v>
                </c:pt>
                <c:pt idx="13">
                  <c:v>0.50000000000000011</c:v>
                </c:pt>
                <c:pt idx="14">
                  <c:v>0.52000000000000013</c:v>
                </c:pt>
                <c:pt idx="15">
                  <c:v>0.54000000000000015</c:v>
                </c:pt>
                <c:pt idx="16">
                  <c:v>0.56000000000000016</c:v>
                </c:pt>
                <c:pt idx="17">
                  <c:v>0.58000000000000018</c:v>
                </c:pt>
                <c:pt idx="18">
                  <c:v>0.6000000000000002</c:v>
                </c:pt>
                <c:pt idx="19">
                  <c:v>0.62000000000000022</c:v>
                </c:pt>
                <c:pt idx="20">
                  <c:v>0.64000000000000024</c:v>
                </c:pt>
                <c:pt idx="21">
                  <c:v>0.66000000000000025</c:v>
                </c:pt>
                <c:pt idx="22">
                  <c:v>0.68000000000000027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85-41C2-B9D3-2699BD0A493C}"/>
            </c:ext>
          </c:extLst>
        </c:ser>
        <c:ser>
          <c:idx val="4"/>
          <c:order val="4"/>
          <c:tx>
            <c:v>Inversión propuesta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Portafolios!$O$84</c:f>
              <c:numCache>
                <c:formatCode>0.00%</c:formatCode>
                <c:ptCount val="1"/>
                <c:pt idx="0">
                  <c:v>0.39330033940182196</c:v>
                </c:pt>
              </c:numCache>
            </c:numRef>
          </c:xVal>
          <c:yVal>
            <c:numRef>
              <c:f>Portafolios!$P$84</c:f>
              <c:numCache>
                <c:formatCode>0.00%</c:formatCode>
                <c:ptCount val="1"/>
                <c:pt idx="0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585-41C2-B9D3-2699BD0A4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117856"/>
        <c:axId val="529119032"/>
      </c:scatterChart>
      <c:valAx>
        <c:axId val="52911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29119032"/>
        <c:crosses val="autoZero"/>
        <c:crossBetween val="midCat"/>
      </c:valAx>
      <c:valAx>
        <c:axId val="52911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29117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349250</xdr:colOff>
      <xdr:row>2</xdr:row>
      <xdr:rowOff>156368</xdr:rowOff>
    </xdr:from>
    <xdr:to>
      <xdr:col>13</xdr:col>
      <xdr:colOff>349250</xdr:colOff>
      <xdr:row>17</xdr:row>
      <xdr:rowOff>42068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27779</xdr:colOff>
      <xdr:row>43</xdr:row>
      <xdr:rowOff>223836</xdr:rowOff>
    </xdr:from>
    <xdr:to>
      <xdr:col>23</xdr:col>
      <xdr:colOff>722313</xdr:colOff>
      <xdr:row>60</xdr:row>
      <xdr:rowOff>162718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670"/>
  <sheetViews>
    <sheetView tabSelected="1" zoomScaleNormal="100" workbookViewId="0"/>
  </sheetViews>
  <sheetFormatPr baseColWidth="10" defaultRowHeight="14.4" x14ac:dyDescent="0.3"/>
  <sheetData>
    <row r="1" spans="1:11" x14ac:dyDescent="0.3">
      <c r="A1" s="1" t="s">
        <v>16</v>
      </c>
      <c r="B1" s="1" t="s">
        <v>15</v>
      </c>
      <c r="C1" s="1" t="s">
        <v>14</v>
      </c>
      <c r="D1" s="1" t="s">
        <v>13</v>
      </c>
      <c r="E1" s="1" t="s">
        <v>12</v>
      </c>
      <c r="F1" s="125" t="s">
        <v>11</v>
      </c>
      <c r="G1" s="1" t="s">
        <v>10</v>
      </c>
      <c r="I1" s="1"/>
      <c r="K1" s="78"/>
    </row>
    <row r="2" spans="1:11" x14ac:dyDescent="0.3">
      <c r="A2" s="19">
        <v>44496</v>
      </c>
      <c r="B2" s="7">
        <v>3437</v>
      </c>
      <c r="C2" s="7">
        <v>3475.5</v>
      </c>
      <c r="D2" s="7">
        <v>3410</v>
      </c>
      <c r="E2" s="7">
        <v>3458.5639649999998</v>
      </c>
      <c r="F2" s="126">
        <v>3458.5639649999998</v>
      </c>
      <c r="G2">
        <v>18720</v>
      </c>
    </row>
    <row r="3" spans="1:11" x14ac:dyDescent="0.3">
      <c r="A3" s="19">
        <v>44497</v>
      </c>
      <c r="B3">
        <v>3458.5639649999998</v>
      </c>
      <c r="C3">
        <v>3545.6311040000001</v>
      </c>
      <c r="D3">
        <v>3443.5500489999999</v>
      </c>
      <c r="E3">
        <v>3510.9960940000001</v>
      </c>
      <c r="F3" s="127">
        <v>3510.9960940000001</v>
      </c>
      <c r="G3">
        <v>62460</v>
      </c>
    </row>
    <row r="4" spans="1:11" x14ac:dyDescent="0.3">
      <c r="A4" s="19">
        <v>44498</v>
      </c>
      <c r="B4">
        <v>3360</v>
      </c>
      <c r="C4">
        <v>3465.5854490000002</v>
      </c>
      <c r="D4">
        <v>3348.5</v>
      </c>
      <c r="E4">
        <v>3461.6960450000001</v>
      </c>
      <c r="F4" s="127">
        <v>3461.6960450000001</v>
      </c>
      <c r="G4">
        <v>37320</v>
      </c>
    </row>
    <row r="5" spans="1:11" x14ac:dyDescent="0.3">
      <c r="A5" s="19">
        <v>44501</v>
      </c>
      <c r="B5">
        <v>3475</v>
      </c>
      <c r="C5">
        <v>3483.9499510000001</v>
      </c>
      <c r="D5">
        <v>3434.1274410000001</v>
      </c>
      <c r="E5">
        <v>3446.032471</v>
      </c>
      <c r="F5" s="127">
        <v>3446.032471</v>
      </c>
      <c r="G5">
        <v>30780</v>
      </c>
    </row>
    <row r="6" spans="1:11" x14ac:dyDescent="0.3">
      <c r="A6" s="19">
        <v>44503</v>
      </c>
      <c r="B6">
        <v>3442.6000979999999</v>
      </c>
      <c r="C6">
        <v>3500.0500489999999</v>
      </c>
      <c r="D6">
        <v>3442.6000979999999</v>
      </c>
      <c r="E6">
        <v>3487.2246089999999</v>
      </c>
      <c r="F6" s="127">
        <v>3487.2246089999999</v>
      </c>
      <c r="G6">
        <v>45540</v>
      </c>
    </row>
    <row r="7" spans="1:11" x14ac:dyDescent="0.3">
      <c r="A7" s="19">
        <v>44504</v>
      </c>
      <c r="B7">
        <v>3485.2890630000002</v>
      </c>
      <c r="C7">
        <v>3605</v>
      </c>
      <c r="D7">
        <v>3485.2890630000002</v>
      </c>
      <c r="E7">
        <v>3580.2109380000002</v>
      </c>
      <c r="F7" s="127">
        <v>3580.2109380000002</v>
      </c>
      <c r="G7">
        <v>34720</v>
      </c>
    </row>
    <row r="8" spans="1:11" x14ac:dyDescent="0.3">
      <c r="A8" s="19">
        <v>44505</v>
      </c>
      <c r="B8">
        <v>3588.8869629999999</v>
      </c>
      <c r="C8">
        <v>3631.25</v>
      </c>
      <c r="D8">
        <v>3570.7380370000001</v>
      </c>
      <c r="E8">
        <v>3578.5290530000002</v>
      </c>
      <c r="F8" s="127">
        <v>3578.5290530000002</v>
      </c>
      <c r="G8">
        <v>54340</v>
      </c>
    </row>
    <row r="9" spans="1:11" x14ac:dyDescent="0.3">
      <c r="A9" s="19">
        <v>44508</v>
      </c>
      <c r="B9">
        <v>3580</v>
      </c>
      <c r="C9">
        <v>3628.4965820000002</v>
      </c>
      <c r="D9">
        <v>3550.4125979999999</v>
      </c>
      <c r="E9">
        <v>3561</v>
      </c>
      <c r="F9" s="127">
        <v>3561</v>
      </c>
      <c r="G9">
        <v>24740</v>
      </c>
    </row>
    <row r="10" spans="1:11" x14ac:dyDescent="0.3">
      <c r="A10" s="19">
        <v>44509</v>
      </c>
      <c r="B10">
        <v>3569.3000489999999</v>
      </c>
      <c r="C10">
        <v>3650</v>
      </c>
      <c r="D10">
        <v>3569.3000489999999</v>
      </c>
      <c r="E10">
        <v>3628.935547</v>
      </c>
      <c r="F10" s="127">
        <v>3628.935547</v>
      </c>
      <c r="G10">
        <v>24380</v>
      </c>
    </row>
    <row r="11" spans="1:11" x14ac:dyDescent="0.3">
      <c r="A11" s="19">
        <v>44510</v>
      </c>
      <c r="B11">
        <v>3653.4655760000001</v>
      </c>
      <c r="C11">
        <v>3680</v>
      </c>
      <c r="D11">
        <v>3579</v>
      </c>
      <c r="E11">
        <v>3581.3015140000002</v>
      </c>
      <c r="F11" s="127">
        <v>3581.3015140000002</v>
      </c>
      <c r="G11">
        <v>36560</v>
      </c>
    </row>
    <row r="12" spans="1:11" x14ac:dyDescent="0.3">
      <c r="A12" s="19">
        <v>44511</v>
      </c>
      <c r="B12">
        <v>3613.7109380000002</v>
      </c>
      <c r="C12">
        <v>3620</v>
      </c>
      <c r="D12">
        <v>3580</v>
      </c>
      <c r="E12">
        <v>3595.5043949999999</v>
      </c>
      <c r="F12" s="127">
        <v>3595.5043949999999</v>
      </c>
      <c r="G12">
        <v>2620</v>
      </c>
    </row>
    <row r="13" spans="1:11" x14ac:dyDescent="0.3">
      <c r="A13" s="19">
        <v>44512</v>
      </c>
      <c r="B13">
        <v>3568.1000979999999</v>
      </c>
      <c r="C13">
        <v>3619</v>
      </c>
      <c r="D13">
        <v>3568.1000979999999</v>
      </c>
      <c r="E13">
        <v>3617.2810060000002</v>
      </c>
      <c r="F13" s="127">
        <v>3617.2810060000002</v>
      </c>
      <c r="G13">
        <v>12140</v>
      </c>
    </row>
    <row r="14" spans="1:11" x14ac:dyDescent="0.3">
      <c r="A14" s="19">
        <v>44516</v>
      </c>
      <c r="B14">
        <v>3675</v>
      </c>
      <c r="C14">
        <v>3705.25</v>
      </c>
      <c r="D14">
        <v>3666.5915530000002</v>
      </c>
      <c r="E14">
        <v>3671.6999510000001</v>
      </c>
      <c r="F14" s="127">
        <v>3671.6999510000001</v>
      </c>
      <c r="G14">
        <v>17800</v>
      </c>
    </row>
    <row r="15" spans="1:11" x14ac:dyDescent="0.3">
      <c r="A15" s="19">
        <v>44517</v>
      </c>
      <c r="B15">
        <v>3690.9724120000001</v>
      </c>
      <c r="C15">
        <v>3707.5</v>
      </c>
      <c r="D15">
        <v>3667.4975589999999</v>
      </c>
      <c r="E15">
        <v>3672</v>
      </c>
      <c r="F15" s="127">
        <v>3672</v>
      </c>
      <c r="G15">
        <v>17180</v>
      </c>
    </row>
    <row r="16" spans="1:11" x14ac:dyDescent="0.3">
      <c r="A16" s="19">
        <v>44518</v>
      </c>
      <c r="B16">
        <v>3704</v>
      </c>
      <c r="C16">
        <v>3844.3000489999999</v>
      </c>
      <c r="D16">
        <v>3704</v>
      </c>
      <c r="E16">
        <v>3842.6264649999998</v>
      </c>
      <c r="F16" s="127">
        <v>3842.6264649999998</v>
      </c>
      <c r="G16">
        <v>36220</v>
      </c>
    </row>
    <row r="17" spans="1:7" x14ac:dyDescent="0.3">
      <c r="A17" s="19">
        <v>44519</v>
      </c>
      <c r="B17">
        <v>3849.2871089999999</v>
      </c>
      <c r="C17">
        <v>3907.3010250000002</v>
      </c>
      <c r="D17">
        <v>3838.1999510000001</v>
      </c>
      <c r="E17">
        <v>3843.1599120000001</v>
      </c>
      <c r="F17" s="127">
        <v>3843.1599120000001</v>
      </c>
      <c r="G17">
        <v>41660</v>
      </c>
    </row>
    <row r="18" spans="1:7" x14ac:dyDescent="0.3">
      <c r="A18" s="19">
        <v>44522</v>
      </c>
      <c r="B18">
        <v>3860.6201169999999</v>
      </c>
      <c r="C18">
        <v>3860.6201169999999</v>
      </c>
      <c r="D18">
        <v>3746.530518</v>
      </c>
      <c r="E18">
        <v>3763.6145019999999</v>
      </c>
      <c r="F18" s="127">
        <v>3763.6145019999999</v>
      </c>
      <c r="G18">
        <v>35660</v>
      </c>
    </row>
    <row r="19" spans="1:7" x14ac:dyDescent="0.3">
      <c r="A19" s="19">
        <v>44523</v>
      </c>
      <c r="B19">
        <v>3806.0490719999998</v>
      </c>
      <c r="C19">
        <v>3808.431885</v>
      </c>
      <c r="D19">
        <v>3757.701904</v>
      </c>
      <c r="E19">
        <v>3795.4645999999998</v>
      </c>
      <c r="F19" s="127">
        <v>3795.4645999999998</v>
      </c>
      <c r="G19">
        <v>19020</v>
      </c>
    </row>
    <row r="20" spans="1:7" x14ac:dyDescent="0.3">
      <c r="A20" s="19">
        <v>44524</v>
      </c>
      <c r="B20">
        <v>3825</v>
      </c>
      <c r="C20">
        <v>3856</v>
      </c>
      <c r="D20">
        <v>3815</v>
      </c>
      <c r="E20">
        <v>3828.5</v>
      </c>
      <c r="F20" s="127">
        <v>3828.5</v>
      </c>
      <c r="G20">
        <v>14880</v>
      </c>
    </row>
    <row r="21" spans="1:7" x14ac:dyDescent="0.3">
      <c r="A21" s="19">
        <v>44525</v>
      </c>
      <c r="B21">
        <v>3828.5</v>
      </c>
      <c r="C21">
        <v>3828.5</v>
      </c>
      <c r="D21">
        <v>3828.5</v>
      </c>
      <c r="E21">
        <v>3828.5</v>
      </c>
      <c r="F21" s="127">
        <v>3828.5</v>
      </c>
      <c r="G21">
        <v>0</v>
      </c>
    </row>
    <row r="22" spans="1:7" x14ac:dyDescent="0.3">
      <c r="A22" s="19">
        <v>44526</v>
      </c>
      <c r="B22">
        <v>3929.2080080000001</v>
      </c>
      <c r="C22">
        <v>3929.2080080000001</v>
      </c>
      <c r="D22">
        <v>3824.1826169999999</v>
      </c>
      <c r="E22">
        <v>3835</v>
      </c>
      <c r="F22" s="127">
        <v>3835</v>
      </c>
      <c r="G22">
        <v>19860</v>
      </c>
    </row>
    <row r="23" spans="1:7" x14ac:dyDescent="0.3">
      <c r="A23" s="19">
        <v>44529</v>
      </c>
      <c r="B23">
        <v>3845</v>
      </c>
      <c r="C23">
        <v>3900</v>
      </c>
      <c r="D23">
        <v>3845</v>
      </c>
      <c r="E23">
        <v>3874.4499510000001</v>
      </c>
      <c r="F23" s="127">
        <v>3874.4499510000001</v>
      </c>
      <c r="G23">
        <v>35940</v>
      </c>
    </row>
    <row r="24" spans="1:7" x14ac:dyDescent="0.3">
      <c r="A24" s="19">
        <v>44530</v>
      </c>
      <c r="B24">
        <v>3808.8625489999999</v>
      </c>
      <c r="C24">
        <v>3808.8625489999999</v>
      </c>
      <c r="D24">
        <v>3744</v>
      </c>
      <c r="E24">
        <v>3765.318115</v>
      </c>
      <c r="F24" s="127">
        <v>3765.318115</v>
      </c>
      <c r="G24">
        <v>18700</v>
      </c>
    </row>
    <row r="25" spans="1:7" x14ac:dyDescent="0.3">
      <c r="A25" s="19">
        <v>44531</v>
      </c>
      <c r="B25">
        <v>3760.6015630000002</v>
      </c>
      <c r="C25">
        <v>3774.3999020000001</v>
      </c>
      <c r="D25">
        <v>3688.0495609999998</v>
      </c>
      <c r="E25">
        <v>3688.0495609999998</v>
      </c>
      <c r="F25" s="127">
        <v>3688.0495609999998</v>
      </c>
      <c r="G25">
        <v>17300</v>
      </c>
    </row>
    <row r="26" spans="1:7" x14ac:dyDescent="0.3">
      <c r="A26" s="19">
        <v>44532</v>
      </c>
      <c r="B26">
        <v>3689.2329100000002</v>
      </c>
      <c r="C26">
        <v>3698.9499510000001</v>
      </c>
      <c r="D26">
        <v>3643.647461</v>
      </c>
      <c r="E26">
        <v>3673.6364749999998</v>
      </c>
      <c r="F26" s="127">
        <v>3673.6364749999998</v>
      </c>
      <c r="G26">
        <v>14840</v>
      </c>
    </row>
    <row r="27" spans="1:7" x14ac:dyDescent="0.3">
      <c r="A27" s="19">
        <v>44533</v>
      </c>
      <c r="B27">
        <v>3660.8120119999999</v>
      </c>
      <c r="C27">
        <v>3660.8120119999999</v>
      </c>
      <c r="D27">
        <v>3569.5004880000001</v>
      </c>
      <c r="E27">
        <v>3600.3779300000001</v>
      </c>
      <c r="F27" s="127">
        <v>3600.3779300000001</v>
      </c>
      <c r="G27">
        <v>32960</v>
      </c>
    </row>
    <row r="28" spans="1:7" x14ac:dyDescent="0.3">
      <c r="A28" s="19">
        <v>44536</v>
      </c>
      <c r="B28">
        <v>3615.6999510000001</v>
      </c>
      <c r="C28">
        <v>3684.4384770000001</v>
      </c>
      <c r="D28">
        <v>3602.75</v>
      </c>
      <c r="E28">
        <v>3647.3615719999998</v>
      </c>
      <c r="F28" s="127">
        <v>3647.3615719999998</v>
      </c>
      <c r="G28">
        <v>10160</v>
      </c>
    </row>
    <row r="29" spans="1:7" x14ac:dyDescent="0.3">
      <c r="A29" s="19">
        <v>44537</v>
      </c>
      <c r="B29">
        <v>3695.1655270000001</v>
      </c>
      <c r="C29">
        <v>3732.8500979999999</v>
      </c>
      <c r="D29">
        <v>3695.1655270000001</v>
      </c>
      <c r="E29">
        <v>3698.4785160000001</v>
      </c>
      <c r="F29" s="127">
        <v>3698.4785160000001</v>
      </c>
      <c r="G29">
        <v>31160</v>
      </c>
    </row>
    <row r="30" spans="1:7" x14ac:dyDescent="0.3">
      <c r="A30" s="19">
        <v>44538</v>
      </c>
      <c r="B30">
        <v>3680</v>
      </c>
      <c r="C30">
        <v>3696.2958979999999</v>
      </c>
      <c r="D30">
        <v>3664.5</v>
      </c>
      <c r="E30">
        <v>3694.5</v>
      </c>
      <c r="F30" s="127">
        <v>3694.5</v>
      </c>
      <c r="G30">
        <v>9460</v>
      </c>
    </row>
    <row r="31" spans="1:7" x14ac:dyDescent="0.3">
      <c r="A31" s="19">
        <v>44539</v>
      </c>
      <c r="B31">
        <v>3714.5</v>
      </c>
      <c r="C31">
        <v>3714.5</v>
      </c>
      <c r="D31">
        <v>3657.568115</v>
      </c>
      <c r="E31">
        <v>3657.568115</v>
      </c>
      <c r="F31" s="127">
        <v>3657.568115</v>
      </c>
      <c r="G31">
        <v>9820</v>
      </c>
    </row>
    <row r="32" spans="1:7" x14ac:dyDescent="0.3">
      <c r="A32" s="19">
        <v>44540</v>
      </c>
      <c r="B32">
        <v>3646.0039059999999</v>
      </c>
      <c r="C32">
        <v>3646.0039059999999</v>
      </c>
      <c r="D32">
        <v>3572.3000489999999</v>
      </c>
      <c r="E32">
        <v>3585.0004880000001</v>
      </c>
      <c r="F32" s="127">
        <v>3585.0004880000001</v>
      </c>
      <c r="G32">
        <v>17000</v>
      </c>
    </row>
    <row r="33" spans="1:7" x14ac:dyDescent="0.3">
      <c r="A33" s="19">
        <v>44543</v>
      </c>
      <c r="B33">
        <v>3559.3005370000001</v>
      </c>
      <c r="C33">
        <v>3581</v>
      </c>
      <c r="D33">
        <v>3551.0439449999999</v>
      </c>
      <c r="E33">
        <v>3570</v>
      </c>
      <c r="F33" s="127">
        <v>3570</v>
      </c>
      <c r="G33">
        <v>6600</v>
      </c>
    </row>
    <row r="34" spans="1:7" x14ac:dyDescent="0.3">
      <c r="A34" s="19">
        <v>44544</v>
      </c>
      <c r="B34">
        <v>3536.6499020000001</v>
      </c>
      <c r="C34">
        <v>3595.0500489999999</v>
      </c>
      <c r="D34">
        <v>3523.9499510000001</v>
      </c>
      <c r="E34">
        <v>3585.9304200000001</v>
      </c>
      <c r="F34" s="127">
        <v>3585.9304200000001</v>
      </c>
      <c r="G34">
        <v>38940</v>
      </c>
    </row>
    <row r="35" spans="1:7" x14ac:dyDescent="0.3">
      <c r="A35" s="19">
        <v>44545</v>
      </c>
      <c r="B35">
        <v>3577.623047</v>
      </c>
      <c r="C35">
        <v>3625</v>
      </c>
      <c r="D35">
        <v>3512.5004880000001</v>
      </c>
      <c r="E35">
        <v>3625</v>
      </c>
      <c r="F35" s="127">
        <v>3625</v>
      </c>
      <c r="G35">
        <v>13260</v>
      </c>
    </row>
    <row r="36" spans="1:7" x14ac:dyDescent="0.3">
      <c r="A36" s="19">
        <v>44546</v>
      </c>
      <c r="B36">
        <v>3632.5805660000001</v>
      </c>
      <c r="C36">
        <v>3632.6088869999999</v>
      </c>
      <c r="D36">
        <v>3510</v>
      </c>
      <c r="E36">
        <v>3510</v>
      </c>
      <c r="F36" s="127">
        <v>3510</v>
      </c>
      <c r="G36">
        <v>19120</v>
      </c>
    </row>
    <row r="37" spans="1:7" x14ac:dyDescent="0.3">
      <c r="A37" s="19">
        <v>44547</v>
      </c>
      <c r="B37">
        <v>3500</v>
      </c>
      <c r="C37">
        <v>3538.0114749999998</v>
      </c>
      <c r="D37">
        <v>3440.8500979999999</v>
      </c>
      <c r="E37">
        <v>3527.75</v>
      </c>
      <c r="F37" s="127">
        <v>3527.75</v>
      </c>
      <c r="G37">
        <v>15200</v>
      </c>
    </row>
    <row r="38" spans="1:7" x14ac:dyDescent="0.3">
      <c r="A38" s="19">
        <v>44550</v>
      </c>
      <c r="B38">
        <v>3490</v>
      </c>
      <c r="C38">
        <v>3490</v>
      </c>
      <c r="D38">
        <v>3438.1000979999999</v>
      </c>
      <c r="E38">
        <v>3456.5</v>
      </c>
      <c r="F38" s="127">
        <v>3456.5</v>
      </c>
      <c r="G38">
        <v>14860</v>
      </c>
    </row>
    <row r="39" spans="1:7" x14ac:dyDescent="0.3">
      <c r="A39" s="19">
        <v>44551</v>
      </c>
      <c r="B39">
        <v>3455</v>
      </c>
      <c r="C39">
        <v>3544.7285160000001</v>
      </c>
      <c r="D39">
        <v>3442</v>
      </c>
      <c r="E39">
        <v>3537.8535160000001</v>
      </c>
      <c r="F39" s="127">
        <v>3537.8535160000001</v>
      </c>
      <c r="G39">
        <v>15500</v>
      </c>
    </row>
    <row r="40" spans="1:7" x14ac:dyDescent="0.3">
      <c r="A40" s="19">
        <v>44552</v>
      </c>
      <c r="B40">
        <v>3512.6000979999999</v>
      </c>
      <c r="C40">
        <v>3564.6684570000002</v>
      </c>
      <c r="D40">
        <v>3512.6000979999999</v>
      </c>
      <c r="E40">
        <v>3542.4499510000001</v>
      </c>
      <c r="F40" s="127">
        <v>3542.4499510000001</v>
      </c>
      <c r="G40">
        <v>7480</v>
      </c>
    </row>
    <row r="41" spans="1:7" x14ac:dyDescent="0.3">
      <c r="A41" s="19">
        <v>44553</v>
      </c>
      <c r="B41">
        <v>3545.75</v>
      </c>
      <c r="C41">
        <v>3545.75</v>
      </c>
      <c r="D41">
        <v>3535</v>
      </c>
      <c r="E41">
        <v>3538.5</v>
      </c>
      <c r="F41" s="127">
        <v>3538.5</v>
      </c>
      <c r="G41">
        <v>5460</v>
      </c>
    </row>
    <row r="42" spans="1:7" x14ac:dyDescent="0.3">
      <c r="A42" s="19">
        <v>44554</v>
      </c>
      <c r="B42">
        <v>3538.5</v>
      </c>
      <c r="C42">
        <v>3538.5</v>
      </c>
      <c r="D42">
        <v>3538.5</v>
      </c>
      <c r="E42">
        <v>3538.5</v>
      </c>
      <c r="F42" s="127">
        <v>3538.5</v>
      </c>
      <c r="G42">
        <v>0</v>
      </c>
    </row>
    <row r="43" spans="1:7" x14ac:dyDescent="0.3">
      <c r="A43" s="19">
        <v>44557</v>
      </c>
      <c r="B43">
        <v>3553.7795409999999</v>
      </c>
      <c r="C43">
        <v>3553.8500979999999</v>
      </c>
      <c r="D43">
        <v>3515.5895999999998</v>
      </c>
      <c r="E43">
        <v>3520.2565920000002</v>
      </c>
      <c r="F43" s="127">
        <v>3520.2565920000002</v>
      </c>
      <c r="G43">
        <v>7640</v>
      </c>
    </row>
    <row r="44" spans="1:7" x14ac:dyDescent="0.3">
      <c r="A44" s="19">
        <v>44558</v>
      </c>
      <c r="B44">
        <v>3492.5</v>
      </c>
      <c r="C44">
        <v>3534.679932</v>
      </c>
      <c r="D44">
        <v>3492.5</v>
      </c>
      <c r="E44">
        <v>3528.3400879999999</v>
      </c>
      <c r="F44" s="127">
        <v>3528.3400879999999</v>
      </c>
      <c r="G44">
        <v>7420</v>
      </c>
    </row>
    <row r="45" spans="1:7" x14ac:dyDescent="0.3">
      <c r="A45" s="19">
        <v>44559</v>
      </c>
      <c r="B45">
        <v>3508.5</v>
      </c>
      <c r="C45">
        <v>3508.5</v>
      </c>
      <c r="D45">
        <v>3476</v>
      </c>
      <c r="E45">
        <v>3482.25</v>
      </c>
      <c r="F45" s="127">
        <v>3482.25</v>
      </c>
      <c r="G45">
        <v>10440</v>
      </c>
    </row>
    <row r="46" spans="1:7" x14ac:dyDescent="0.3">
      <c r="A46" s="19">
        <v>44560</v>
      </c>
      <c r="B46">
        <v>3472.5</v>
      </c>
      <c r="C46">
        <v>3505</v>
      </c>
      <c r="D46">
        <v>3472.5</v>
      </c>
      <c r="E46">
        <v>3481.75</v>
      </c>
      <c r="F46" s="127">
        <v>3481.75</v>
      </c>
      <c r="G46">
        <v>2360</v>
      </c>
    </row>
    <row r="47" spans="1:7" x14ac:dyDescent="0.3">
      <c r="A47" s="19">
        <v>44561</v>
      </c>
      <c r="B47">
        <v>3445.5</v>
      </c>
      <c r="C47">
        <v>3445.5</v>
      </c>
      <c r="D47">
        <v>3425.044922</v>
      </c>
      <c r="E47">
        <v>3425.1499020000001</v>
      </c>
      <c r="F47" s="127">
        <v>3425.1499020000001</v>
      </c>
      <c r="G47">
        <v>6920</v>
      </c>
    </row>
    <row r="48" spans="1:7" x14ac:dyDescent="0.3">
      <c r="A48" s="19">
        <v>44564</v>
      </c>
      <c r="B48">
        <v>3442.9624020000001</v>
      </c>
      <c r="C48">
        <v>3518.25</v>
      </c>
      <c r="D48">
        <v>3435.0349120000001</v>
      </c>
      <c r="E48">
        <v>3499.8125</v>
      </c>
      <c r="F48" s="127">
        <v>3499.8125</v>
      </c>
      <c r="G48">
        <v>12540</v>
      </c>
    </row>
    <row r="49" spans="1:7" x14ac:dyDescent="0.3">
      <c r="A49" s="19">
        <v>44565</v>
      </c>
      <c r="B49">
        <v>3506.209961</v>
      </c>
      <c r="C49">
        <v>3506.209961</v>
      </c>
      <c r="D49">
        <v>3415.5</v>
      </c>
      <c r="E49">
        <v>3442.5</v>
      </c>
      <c r="F49" s="127">
        <v>3442.5</v>
      </c>
      <c r="G49">
        <v>15660</v>
      </c>
    </row>
    <row r="50" spans="1:7" x14ac:dyDescent="0.3">
      <c r="A50" s="19">
        <v>44566</v>
      </c>
      <c r="B50">
        <v>3400</v>
      </c>
      <c r="C50">
        <v>3411.1809079999998</v>
      </c>
      <c r="D50">
        <v>3380</v>
      </c>
      <c r="E50">
        <v>3400</v>
      </c>
      <c r="F50" s="127">
        <v>3400</v>
      </c>
      <c r="G50">
        <v>13820</v>
      </c>
    </row>
    <row r="51" spans="1:7" x14ac:dyDescent="0.3">
      <c r="A51" s="19">
        <v>44567</v>
      </c>
      <c r="B51">
        <v>3328</v>
      </c>
      <c r="C51">
        <v>3363</v>
      </c>
      <c r="D51">
        <v>3326.897461</v>
      </c>
      <c r="E51">
        <v>3347.5795899999998</v>
      </c>
      <c r="F51" s="127">
        <v>3347.5795899999998</v>
      </c>
      <c r="G51">
        <v>18680</v>
      </c>
    </row>
    <row r="52" spans="1:7" x14ac:dyDescent="0.3">
      <c r="A52" s="19">
        <v>44568</v>
      </c>
      <c r="B52">
        <v>3353</v>
      </c>
      <c r="C52">
        <v>3353</v>
      </c>
      <c r="D52">
        <v>3301.8999020000001</v>
      </c>
      <c r="E52">
        <v>3317.8029790000001</v>
      </c>
      <c r="F52" s="127">
        <v>3317.8029790000001</v>
      </c>
      <c r="G52">
        <v>13000</v>
      </c>
    </row>
    <row r="53" spans="1:7" x14ac:dyDescent="0.3">
      <c r="A53" s="19">
        <v>44571</v>
      </c>
      <c r="B53">
        <v>3307</v>
      </c>
      <c r="C53">
        <v>3307</v>
      </c>
      <c r="D53">
        <v>3211.2414549999999</v>
      </c>
      <c r="E53">
        <v>3274.75</v>
      </c>
      <c r="F53" s="127">
        <v>3274.75</v>
      </c>
      <c r="G53">
        <v>21300</v>
      </c>
    </row>
    <row r="54" spans="1:7" x14ac:dyDescent="0.3">
      <c r="A54" s="19">
        <v>44572</v>
      </c>
      <c r="B54">
        <v>3320.9499510000001</v>
      </c>
      <c r="C54">
        <v>3377.5024410000001</v>
      </c>
      <c r="D54">
        <v>3320.9499510000001</v>
      </c>
      <c r="E54">
        <v>3374.5</v>
      </c>
      <c r="F54" s="127">
        <v>3374.5</v>
      </c>
      <c r="G54">
        <v>10280</v>
      </c>
    </row>
    <row r="55" spans="1:7" x14ac:dyDescent="0.3">
      <c r="A55" s="19">
        <v>44573</v>
      </c>
      <c r="B55">
        <v>3400</v>
      </c>
      <c r="C55">
        <v>3400</v>
      </c>
      <c r="D55">
        <v>3359.25</v>
      </c>
      <c r="E55">
        <v>3359.25</v>
      </c>
      <c r="F55" s="127">
        <v>3359.25</v>
      </c>
      <c r="G55">
        <v>14560</v>
      </c>
    </row>
    <row r="56" spans="1:7" x14ac:dyDescent="0.3">
      <c r="A56" s="19">
        <v>44574</v>
      </c>
      <c r="B56">
        <v>3365.584961</v>
      </c>
      <c r="C56">
        <v>3365.584961</v>
      </c>
      <c r="D56">
        <v>3287.7915039999998</v>
      </c>
      <c r="E56">
        <v>3287.7915039999998</v>
      </c>
      <c r="F56" s="127">
        <v>3287.7915039999998</v>
      </c>
      <c r="G56">
        <v>16180</v>
      </c>
    </row>
    <row r="57" spans="1:7" x14ac:dyDescent="0.3">
      <c r="A57" s="19">
        <v>44575</v>
      </c>
      <c r="B57">
        <v>3281.8129880000001</v>
      </c>
      <c r="C57">
        <v>3285</v>
      </c>
      <c r="D57">
        <v>3249.5</v>
      </c>
      <c r="E57">
        <v>3285</v>
      </c>
      <c r="F57" s="127">
        <v>3285</v>
      </c>
      <c r="G57">
        <v>20380</v>
      </c>
    </row>
    <row r="58" spans="1:7" x14ac:dyDescent="0.3">
      <c r="A58" s="19">
        <v>44578</v>
      </c>
      <c r="B58">
        <v>3285</v>
      </c>
      <c r="C58">
        <v>3285</v>
      </c>
      <c r="D58">
        <v>3285</v>
      </c>
      <c r="E58">
        <v>3285</v>
      </c>
      <c r="F58" s="127">
        <v>3285</v>
      </c>
      <c r="G58">
        <v>0</v>
      </c>
    </row>
    <row r="59" spans="1:7" x14ac:dyDescent="0.3">
      <c r="A59" s="19">
        <v>44579</v>
      </c>
      <c r="B59">
        <v>3264.834961</v>
      </c>
      <c r="C59">
        <v>3264.834961</v>
      </c>
      <c r="D59">
        <v>3220.75</v>
      </c>
      <c r="E59">
        <v>3246.922607</v>
      </c>
      <c r="F59" s="127">
        <v>3246.922607</v>
      </c>
      <c r="G59">
        <v>54440</v>
      </c>
    </row>
    <row r="60" spans="1:7" x14ac:dyDescent="0.3">
      <c r="A60" s="19">
        <v>44580</v>
      </c>
      <c r="B60">
        <v>3234</v>
      </c>
      <c r="C60">
        <v>3254.25</v>
      </c>
      <c r="D60">
        <v>3209.6850589999999</v>
      </c>
      <c r="E60">
        <v>3214.75</v>
      </c>
      <c r="F60" s="127">
        <v>3214.75</v>
      </c>
      <c r="G60">
        <v>45720</v>
      </c>
    </row>
    <row r="61" spans="1:7" x14ac:dyDescent="0.3">
      <c r="A61" s="19">
        <v>44581</v>
      </c>
      <c r="B61">
        <v>3200</v>
      </c>
      <c r="C61">
        <v>3227.25</v>
      </c>
      <c r="D61">
        <v>3115.6999510000001</v>
      </c>
      <c r="E61">
        <v>3115.6999510000001</v>
      </c>
      <c r="F61" s="127">
        <v>3115.6999510000001</v>
      </c>
      <c r="G61">
        <v>21700</v>
      </c>
    </row>
    <row r="62" spans="1:7" x14ac:dyDescent="0.3">
      <c r="A62" s="19">
        <v>44582</v>
      </c>
      <c r="B62">
        <v>3070.5458979999999</v>
      </c>
      <c r="C62">
        <v>3078</v>
      </c>
      <c r="D62">
        <v>2912.5</v>
      </c>
      <c r="E62">
        <v>2933.2849120000001</v>
      </c>
      <c r="F62" s="127">
        <v>2933.2849120000001</v>
      </c>
      <c r="G62">
        <v>103760</v>
      </c>
    </row>
    <row r="63" spans="1:7" x14ac:dyDescent="0.3">
      <c r="A63" s="19">
        <v>44585</v>
      </c>
      <c r="B63">
        <v>2898.6000979999999</v>
      </c>
      <c r="C63">
        <v>2977.1130370000001</v>
      </c>
      <c r="D63">
        <v>2807.3874510000001</v>
      </c>
      <c r="E63">
        <v>2960.4404300000001</v>
      </c>
      <c r="F63" s="127">
        <v>2960.4404300000001</v>
      </c>
      <c r="G63">
        <v>106980</v>
      </c>
    </row>
    <row r="64" spans="1:7" x14ac:dyDescent="0.3">
      <c r="A64" s="19">
        <v>44586</v>
      </c>
      <c r="B64">
        <v>2950</v>
      </c>
      <c r="C64">
        <v>2952.5</v>
      </c>
      <c r="D64">
        <v>2866.5</v>
      </c>
      <c r="E64">
        <v>2890.9499510000001</v>
      </c>
      <c r="F64" s="127">
        <v>2890.9499510000001</v>
      </c>
      <c r="G64">
        <v>33380</v>
      </c>
    </row>
    <row r="65" spans="1:7" x14ac:dyDescent="0.3">
      <c r="A65" s="19">
        <v>44587</v>
      </c>
      <c r="B65">
        <v>2965.3500979999999</v>
      </c>
      <c r="C65">
        <v>2965.3500979999999</v>
      </c>
      <c r="D65">
        <v>2855</v>
      </c>
      <c r="E65">
        <v>2880.429443</v>
      </c>
      <c r="F65" s="127">
        <v>2880.429443</v>
      </c>
      <c r="G65">
        <v>45560</v>
      </c>
    </row>
    <row r="66" spans="1:7" x14ac:dyDescent="0.3">
      <c r="A66" s="19">
        <v>44588</v>
      </c>
      <c r="B66">
        <v>2922.639404</v>
      </c>
      <c r="C66">
        <v>2954.13501</v>
      </c>
      <c r="D66">
        <v>2905</v>
      </c>
      <c r="E66">
        <v>2919.2370609999998</v>
      </c>
      <c r="F66" s="127">
        <v>2919.2370609999998</v>
      </c>
      <c r="G66">
        <v>49600</v>
      </c>
    </row>
    <row r="67" spans="1:7" x14ac:dyDescent="0.3">
      <c r="A67" s="19">
        <v>44589</v>
      </c>
      <c r="B67">
        <v>2893.5444339999999</v>
      </c>
      <c r="C67">
        <v>2966.75</v>
      </c>
      <c r="D67">
        <v>2890.1489259999998</v>
      </c>
      <c r="E67">
        <v>2966.75</v>
      </c>
      <c r="F67" s="127">
        <v>2966.75</v>
      </c>
      <c r="G67">
        <v>21920</v>
      </c>
    </row>
    <row r="68" spans="1:7" x14ac:dyDescent="0.3">
      <c r="A68" s="19">
        <v>44592</v>
      </c>
      <c r="B68">
        <v>2997.5</v>
      </c>
      <c r="C68">
        <v>3085.9484859999998</v>
      </c>
      <c r="D68">
        <v>2997.5</v>
      </c>
      <c r="E68">
        <v>3081.0900879999999</v>
      </c>
      <c r="F68" s="127">
        <v>3081.0900879999999</v>
      </c>
      <c r="G68">
        <v>21640</v>
      </c>
    </row>
    <row r="69" spans="1:7" x14ac:dyDescent="0.3">
      <c r="A69" s="19">
        <v>44593</v>
      </c>
      <c r="B69">
        <v>3092.6994629999999</v>
      </c>
      <c r="C69">
        <v>3100</v>
      </c>
      <c r="D69">
        <v>3051.5</v>
      </c>
      <c r="E69">
        <v>3094.8154300000001</v>
      </c>
      <c r="F69" s="127">
        <v>3094.8154300000001</v>
      </c>
      <c r="G69">
        <v>31460</v>
      </c>
    </row>
    <row r="70" spans="1:7" x14ac:dyDescent="0.3">
      <c r="A70" s="19">
        <v>44594</v>
      </c>
      <c r="B70">
        <v>3155.3190920000002</v>
      </c>
      <c r="C70">
        <v>3155.3190920000002</v>
      </c>
      <c r="D70">
        <v>3077.5</v>
      </c>
      <c r="E70">
        <v>3086.3635250000002</v>
      </c>
      <c r="F70" s="127">
        <v>3086.3635250000002</v>
      </c>
      <c r="G70">
        <v>44360</v>
      </c>
    </row>
    <row r="71" spans="1:7" x14ac:dyDescent="0.3">
      <c r="A71" s="19">
        <v>44595</v>
      </c>
      <c r="B71">
        <v>3049.9990229999999</v>
      </c>
      <c r="C71">
        <v>3049.9990229999999</v>
      </c>
      <c r="D71">
        <v>2857.25</v>
      </c>
      <c r="E71">
        <v>2870.0109859999998</v>
      </c>
      <c r="F71" s="127">
        <v>2870.0109859999998</v>
      </c>
      <c r="G71">
        <v>158640</v>
      </c>
    </row>
    <row r="72" spans="1:7" x14ac:dyDescent="0.3">
      <c r="A72" s="19">
        <v>44596</v>
      </c>
      <c r="B72">
        <v>3228.4995119999999</v>
      </c>
      <c r="C72">
        <v>3328.5</v>
      </c>
      <c r="D72">
        <v>3127.0270999999998</v>
      </c>
      <c r="E72">
        <v>3318</v>
      </c>
      <c r="F72" s="127">
        <v>3318</v>
      </c>
      <c r="G72">
        <v>101420</v>
      </c>
    </row>
    <row r="73" spans="1:7" x14ac:dyDescent="0.3">
      <c r="A73" s="19">
        <v>44600</v>
      </c>
      <c r="B73">
        <v>3250.8344729999999</v>
      </c>
      <c r="C73">
        <v>3335</v>
      </c>
      <c r="D73">
        <v>3220.3125</v>
      </c>
      <c r="E73">
        <v>3329.2280270000001</v>
      </c>
      <c r="F73" s="127">
        <v>3329.2280270000001</v>
      </c>
      <c r="G73">
        <v>41660</v>
      </c>
    </row>
    <row r="74" spans="1:7" x14ac:dyDescent="0.3">
      <c r="A74" s="19">
        <v>44601</v>
      </c>
      <c r="B74">
        <v>3327.9580080000001</v>
      </c>
      <c r="C74">
        <v>3327.9580080000001</v>
      </c>
      <c r="D74">
        <v>3286.5</v>
      </c>
      <c r="E74">
        <v>3299.7924800000001</v>
      </c>
      <c r="F74" s="127">
        <v>3299.7924800000001</v>
      </c>
      <c r="G74">
        <v>15080</v>
      </c>
    </row>
    <row r="75" spans="1:7" x14ac:dyDescent="0.3">
      <c r="A75" s="19">
        <v>44602</v>
      </c>
      <c r="B75">
        <v>3245.693115</v>
      </c>
      <c r="C75">
        <v>3271.9770509999998</v>
      </c>
      <c r="D75">
        <v>3245.0375979999999</v>
      </c>
      <c r="E75">
        <v>3259.1184079999998</v>
      </c>
      <c r="F75" s="127">
        <v>3259.1184079999998</v>
      </c>
      <c r="G75">
        <v>12940</v>
      </c>
    </row>
    <row r="76" spans="1:7" x14ac:dyDescent="0.3">
      <c r="A76" s="19">
        <v>44603</v>
      </c>
      <c r="B76">
        <v>3196.25</v>
      </c>
      <c r="C76">
        <v>3200.75</v>
      </c>
      <c r="D76">
        <v>3143.0170899999998</v>
      </c>
      <c r="E76">
        <v>3151.5839839999999</v>
      </c>
      <c r="F76" s="127">
        <v>3151.5839839999999</v>
      </c>
      <c r="G76">
        <v>18980</v>
      </c>
    </row>
    <row r="77" spans="1:7" x14ac:dyDescent="0.3">
      <c r="A77" s="19">
        <v>44606</v>
      </c>
      <c r="B77">
        <v>3125</v>
      </c>
      <c r="C77">
        <v>3229.6499020000001</v>
      </c>
      <c r="D77">
        <v>3107.8610840000001</v>
      </c>
      <c r="E77">
        <v>3166.75</v>
      </c>
      <c r="F77" s="127">
        <v>3166.75</v>
      </c>
      <c r="G77">
        <v>18880</v>
      </c>
    </row>
    <row r="78" spans="1:7" x14ac:dyDescent="0.3">
      <c r="A78" s="19">
        <v>44607</v>
      </c>
      <c r="B78">
        <v>3177.75</v>
      </c>
      <c r="C78">
        <v>3186.6999510000001</v>
      </c>
      <c r="D78">
        <v>3166.0495609999998</v>
      </c>
      <c r="E78">
        <v>3179.6684570000002</v>
      </c>
      <c r="F78" s="127">
        <v>3179.6684570000002</v>
      </c>
      <c r="G78">
        <v>13960</v>
      </c>
    </row>
    <row r="79" spans="1:7" x14ac:dyDescent="0.3">
      <c r="A79" s="19">
        <v>44608</v>
      </c>
      <c r="B79">
        <v>3162</v>
      </c>
      <c r="C79">
        <v>3217.5</v>
      </c>
      <c r="D79">
        <v>3162</v>
      </c>
      <c r="E79">
        <v>3217.5</v>
      </c>
      <c r="F79" s="127">
        <v>3217.5</v>
      </c>
      <c r="G79">
        <v>5800</v>
      </c>
    </row>
    <row r="80" spans="1:7" x14ac:dyDescent="0.3">
      <c r="A80" s="19">
        <v>44609</v>
      </c>
      <c r="B80">
        <v>3237.1000979999999</v>
      </c>
      <c r="C80">
        <v>3239.75</v>
      </c>
      <c r="D80">
        <v>3149.2055660000001</v>
      </c>
      <c r="E80">
        <v>3149.2055660000001</v>
      </c>
      <c r="F80" s="127">
        <v>3149.2055660000001</v>
      </c>
      <c r="G80">
        <v>12040</v>
      </c>
    </row>
    <row r="81" spans="1:7" x14ac:dyDescent="0.3">
      <c r="A81" s="19">
        <v>44610</v>
      </c>
      <c r="B81">
        <v>3115.1999510000001</v>
      </c>
      <c r="C81">
        <v>3119.5</v>
      </c>
      <c r="D81">
        <v>3065.5</v>
      </c>
      <c r="E81">
        <v>3109.235107</v>
      </c>
      <c r="F81" s="127">
        <v>3109.235107</v>
      </c>
      <c r="G81">
        <v>5240</v>
      </c>
    </row>
    <row r="82" spans="1:7" x14ac:dyDescent="0.3">
      <c r="A82" s="19">
        <v>44613</v>
      </c>
      <c r="B82">
        <v>3109.235107</v>
      </c>
      <c r="C82">
        <v>3109.235107</v>
      </c>
      <c r="D82">
        <v>3109.235107</v>
      </c>
      <c r="E82">
        <v>3109.235107</v>
      </c>
      <c r="F82" s="127">
        <v>3109.235107</v>
      </c>
      <c r="G82">
        <v>0</v>
      </c>
    </row>
    <row r="83" spans="1:7" x14ac:dyDescent="0.3">
      <c r="A83" s="19">
        <v>44614</v>
      </c>
      <c r="B83">
        <v>3069.6210940000001</v>
      </c>
      <c r="C83">
        <v>3108.5</v>
      </c>
      <c r="D83">
        <v>3021.9975589999999</v>
      </c>
      <c r="E83">
        <v>3052.264404</v>
      </c>
      <c r="F83" s="127">
        <v>3052.264404</v>
      </c>
      <c r="G83">
        <v>40760</v>
      </c>
    </row>
    <row r="84" spans="1:7" x14ac:dyDescent="0.3">
      <c r="A84" s="19">
        <v>44615</v>
      </c>
      <c r="B84">
        <v>3055</v>
      </c>
      <c r="C84">
        <v>3055</v>
      </c>
      <c r="D84">
        <v>2930.6000979999999</v>
      </c>
      <c r="E84">
        <v>2936.4235840000001</v>
      </c>
      <c r="F84" s="127">
        <v>2936.4235840000001</v>
      </c>
      <c r="G84">
        <v>13540</v>
      </c>
    </row>
    <row r="85" spans="1:7" x14ac:dyDescent="0.3">
      <c r="A85" s="19">
        <v>44616</v>
      </c>
      <c r="B85">
        <v>2913.1115719999998</v>
      </c>
      <c r="C85">
        <v>3109</v>
      </c>
      <c r="D85">
        <v>2913.1115719999998</v>
      </c>
      <c r="E85">
        <v>3106.2333979999999</v>
      </c>
      <c r="F85" s="127">
        <v>3106.2333979999999</v>
      </c>
      <c r="G85">
        <v>26180</v>
      </c>
    </row>
    <row r="86" spans="1:7" x14ac:dyDescent="0.3">
      <c r="A86" s="19">
        <v>44617</v>
      </c>
      <c r="B86">
        <v>3081.7250979999999</v>
      </c>
      <c r="C86">
        <v>3132.5004880000001</v>
      </c>
      <c r="D86">
        <v>3070</v>
      </c>
      <c r="E86">
        <v>3126.8249510000001</v>
      </c>
      <c r="F86" s="127">
        <v>3126.8249510000001</v>
      </c>
      <c r="G86">
        <v>11760</v>
      </c>
    </row>
    <row r="87" spans="1:7" x14ac:dyDescent="0.3">
      <c r="A87" s="19">
        <v>44620</v>
      </c>
      <c r="B87">
        <v>3142.173096</v>
      </c>
      <c r="C87">
        <v>3142.173096</v>
      </c>
      <c r="D87">
        <v>3108.0500489999999</v>
      </c>
      <c r="E87">
        <v>3112.1499020000001</v>
      </c>
      <c r="F87" s="127">
        <v>3112.1499020000001</v>
      </c>
      <c r="G87">
        <v>9760</v>
      </c>
    </row>
    <row r="88" spans="1:7" x14ac:dyDescent="0.3">
      <c r="A88" s="19">
        <v>44621</v>
      </c>
      <c r="B88">
        <v>3125.0014649999998</v>
      </c>
      <c r="C88">
        <v>3131.3000489999999</v>
      </c>
      <c r="D88">
        <v>3112.1499020000001</v>
      </c>
      <c r="E88">
        <v>3112.1499020000001</v>
      </c>
      <c r="F88" s="127">
        <v>3112.1499020000001</v>
      </c>
      <c r="G88">
        <v>5340</v>
      </c>
    </row>
    <row r="89" spans="1:7" x14ac:dyDescent="0.3">
      <c r="A89" s="19">
        <v>44622</v>
      </c>
      <c r="B89">
        <v>3115.5358890000002</v>
      </c>
      <c r="C89">
        <v>3142.5</v>
      </c>
      <c r="D89">
        <v>3115.5358890000002</v>
      </c>
      <c r="E89">
        <v>3142.5</v>
      </c>
      <c r="F89" s="127">
        <v>3142.5</v>
      </c>
      <c r="G89">
        <v>6980</v>
      </c>
    </row>
    <row r="90" spans="1:7" x14ac:dyDescent="0.3">
      <c r="A90" s="19">
        <v>44623</v>
      </c>
      <c r="B90">
        <v>3149.9499510000001</v>
      </c>
      <c r="C90">
        <v>3166.5</v>
      </c>
      <c r="D90">
        <v>3059.5495609999998</v>
      </c>
      <c r="E90">
        <v>3059.5495609999998</v>
      </c>
      <c r="F90" s="127">
        <v>3059.5495609999998</v>
      </c>
      <c r="G90">
        <v>7540</v>
      </c>
    </row>
    <row r="91" spans="1:7" x14ac:dyDescent="0.3">
      <c r="A91" s="19">
        <v>44624</v>
      </c>
      <c r="B91">
        <v>3027.7990719999998</v>
      </c>
      <c r="C91">
        <v>3047</v>
      </c>
      <c r="D91">
        <v>3023.5</v>
      </c>
      <c r="E91">
        <v>3041.6918949999999</v>
      </c>
      <c r="F91" s="127">
        <v>3041.6918949999999</v>
      </c>
      <c r="G91">
        <v>8640</v>
      </c>
    </row>
    <row r="92" spans="1:7" x14ac:dyDescent="0.3">
      <c r="A92" s="19">
        <v>44627</v>
      </c>
      <c r="B92">
        <v>3040.0004880000001</v>
      </c>
      <c r="C92">
        <v>3057.5</v>
      </c>
      <c r="D92">
        <v>2935.5759280000002</v>
      </c>
      <c r="E92">
        <v>2942.0500489999999</v>
      </c>
      <c r="F92" s="127">
        <v>2942.0500489999999</v>
      </c>
      <c r="G92">
        <v>39100</v>
      </c>
    </row>
    <row r="93" spans="1:7" x14ac:dyDescent="0.3">
      <c r="A93" s="19">
        <v>44628</v>
      </c>
      <c r="B93">
        <v>2901.4614259999998</v>
      </c>
      <c r="C93">
        <v>2977.5</v>
      </c>
      <c r="D93">
        <v>2892.5124510000001</v>
      </c>
      <c r="E93">
        <v>2913.423096</v>
      </c>
      <c r="F93" s="127">
        <v>2913.423096</v>
      </c>
      <c r="G93">
        <v>15100</v>
      </c>
    </row>
    <row r="94" spans="1:7" x14ac:dyDescent="0.3">
      <c r="A94" s="19">
        <v>44629</v>
      </c>
      <c r="B94">
        <v>2940</v>
      </c>
      <c r="C94">
        <v>2940</v>
      </c>
      <c r="D94">
        <v>2882.5</v>
      </c>
      <c r="E94">
        <v>2905.5</v>
      </c>
      <c r="F94" s="127">
        <v>2905.5</v>
      </c>
      <c r="G94">
        <v>18980</v>
      </c>
    </row>
    <row r="95" spans="1:7" x14ac:dyDescent="0.3">
      <c r="A95" s="19">
        <v>44630</v>
      </c>
      <c r="B95">
        <v>3040.5</v>
      </c>
      <c r="C95">
        <v>3111</v>
      </c>
      <c r="D95">
        <v>3040.5</v>
      </c>
      <c r="E95">
        <v>3096.6640630000002</v>
      </c>
      <c r="F95" s="127">
        <v>3096.6640630000002</v>
      </c>
      <c r="G95">
        <v>196080</v>
      </c>
    </row>
    <row r="96" spans="1:7" x14ac:dyDescent="0.3">
      <c r="A96" s="19">
        <v>44631</v>
      </c>
      <c r="B96">
        <v>3090</v>
      </c>
      <c r="C96">
        <v>3110</v>
      </c>
      <c r="D96">
        <v>3050</v>
      </c>
      <c r="E96">
        <v>3051.4035640000002</v>
      </c>
      <c r="F96" s="127">
        <v>3051.4035640000002</v>
      </c>
      <c r="G96">
        <v>37380</v>
      </c>
    </row>
    <row r="97" spans="1:7" x14ac:dyDescent="0.3">
      <c r="A97" s="19">
        <v>44634</v>
      </c>
      <c r="B97">
        <v>3043.1000979999999</v>
      </c>
      <c r="C97">
        <v>3063.25</v>
      </c>
      <c r="D97">
        <v>2950</v>
      </c>
      <c r="E97">
        <v>2969.3334960000002</v>
      </c>
      <c r="F97" s="127">
        <v>2969.3334960000002</v>
      </c>
      <c r="G97">
        <v>142440</v>
      </c>
    </row>
    <row r="98" spans="1:7" x14ac:dyDescent="0.3">
      <c r="A98" s="19">
        <v>44635</v>
      </c>
      <c r="B98">
        <v>3050.5</v>
      </c>
      <c r="C98">
        <v>3078.25</v>
      </c>
      <c r="D98">
        <v>3040</v>
      </c>
      <c r="E98">
        <v>3078.25</v>
      </c>
      <c r="F98" s="127">
        <v>3078.25</v>
      </c>
      <c r="G98">
        <v>12480</v>
      </c>
    </row>
    <row r="99" spans="1:7" x14ac:dyDescent="0.3">
      <c r="A99" s="19">
        <v>44636</v>
      </c>
      <c r="B99">
        <v>3068</v>
      </c>
      <c r="C99">
        <v>3145</v>
      </c>
      <c r="D99">
        <v>3067.6999510000001</v>
      </c>
      <c r="E99">
        <v>3145</v>
      </c>
      <c r="F99" s="127">
        <v>3145</v>
      </c>
      <c r="G99">
        <v>20940</v>
      </c>
    </row>
    <row r="100" spans="1:7" x14ac:dyDescent="0.3">
      <c r="A100" s="19">
        <v>44637</v>
      </c>
      <c r="B100">
        <v>3068</v>
      </c>
      <c r="C100">
        <v>3227.1000979999999</v>
      </c>
      <c r="D100">
        <v>3067.6999510000001</v>
      </c>
      <c r="E100">
        <v>3221.939453</v>
      </c>
      <c r="F100" s="127">
        <v>3221.939453</v>
      </c>
      <c r="G100">
        <v>37180</v>
      </c>
    </row>
    <row r="101" spans="1:7" x14ac:dyDescent="0.3">
      <c r="A101" s="19">
        <v>44638</v>
      </c>
      <c r="B101">
        <v>3226.3029790000001</v>
      </c>
      <c r="C101">
        <v>3285.4499510000001</v>
      </c>
      <c r="D101">
        <v>3215.75</v>
      </c>
      <c r="E101">
        <v>3274.732422</v>
      </c>
      <c r="F101" s="127">
        <v>3274.732422</v>
      </c>
      <c r="G101">
        <v>22840</v>
      </c>
    </row>
    <row r="102" spans="1:7" x14ac:dyDescent="0.3">
      <c r="A102" s="19">
        <v>44642</v>
      </c>
      <c r="B102">
        <v>3293.3859859999998</v>
      </c>
      <c r="C102">
        <v>3361.3999020000001</v>
      </c>
      <c r="D102">
        <v>3293.3859859999998</v>
      </c>
      <c r="E102">
        <v>3352.4909670000002</v>
      </c>
      <c r="F102" s="127">
        <v>3352.4909670000002</v>
      </c>
      <c r="G102">
        <v>93920</v>
      </c>
    </row>
    <row r="103" spans="1:7" x14ac:dyDescent="0.3">
      <c r="A103" s="19">
        <v>44643</v>
      </c>
      <c r="B103">
        <v>3309.281982</v>
      </c>
      <c r="C103">
        <v>3350</v>
      </c>
      <c r="D103">
        <v>3309.281982</v>
      </c>
      <c r="E103">
        <v>3318.5</v>
      </c>
      <c r="F103" s="127">
        <v>3318.5</v>
      </c>
      <c r="G103">
        <v>214640</v>
      </c>
    </row>
    <row r="104" spans="1:7" x14ac:dyDescent="0.3">
      <c r="A104" s="19">
        <v>44644</v>
      </c>
      <c r="B104">
        <v>3297.0695799999999</v>
      </c>
      <c r="C104">
        <v>3297.9016109999998</v>
      </c>
      <c r="D104">
        <v>3241.8999020000001</v>
      </c>
      <c r="E104">
        <v>3278.25</v>
      </c>
      <c r="F104" s="127">
        <v>3278.25</v>
      </c>
      <c r="G104">
        <v>9480</v>
      </c>
    </row>
    <row r="105" spans="1:7" x14ac:dyDescent="0.3">
      <c r="A105" s="19">
        <v>44645</v>
      </c>
      <c r="B105">
        <v>3281</v>
      </c>
      <c r="C105">
        <v>3295</v>
      </c>
      <c r="D105">
        <v>3245.5</v>
      </c>
      <c r="E105">
        <v>3293.389893</v>
      </c>
      <c r="F105" s="127">
        <v>3293.389893</v>
      </c>
      <c r="G105">
        <v>18000</v>
      </c>
    </row>
    <row r="106" spans="1:7" x14ac:dyDescent="0.3">
      <c r="A106" s="19">
        <v>44648</v>
      </c>
      <c r="B106">
        <v>3360</v>
      </c>
      <c r="C106">
        <v>3397.7270509999998</v>
      </c>
      <c r="D106">
        <v>3337.6000979999999</v>
      </c>
      <c r="E106">
        <v>3392.9575199999999</v>
      </c>
      <c r="F106" s="127">
        <v>3392.9575199999999</v>
      </c>
      <c r="G106">
        <v>18860</v>
      </c>
    </row>
    <row r="107" spans="1:7" x14ac:dyDescent="0.3">
      <c r="A107" s="19">
        <v>44649</v>
      </c>
      <c r="B107">
        <v>3401.9499510000001</v>
      </c>
      <c r="C107">
        <v>3401.9499510000001</v>
      </c>
      <c r="D107">
        <v>3361.469971</v>
      </c>
      <c r="E107">
        <v>3389.919922</v>
      </c>
      <c r="F107" s="127">
        <v>3389.919922</v>
      </c>
      <c r="G107">
        <v>29780</v>
      </c>
    </row>
    <row r="108" spans="1:7" x14ac:dyDescent="0.3">
      <c r="A108" s="19">
        <v>44650</v>
      </c>
      <c r="B108">
        <v>3325</v>
      </c>
      <c r="C108">
        <v>3334</v>
      </c>
      <c r="D108">
        <v>3295.4499510000001</v>
      </c>
      <c r="E108">
        <v>3299.1835940000001</v>
      </c>
      <c r="F108" s="127">
        <v>3299.1835940000001</v>
      </c>
      <c r="G108">
        <v>8600</v>
      </c>
    </row>
    <row r="109" spans="1:7" x14ac:dyDescent="0.3">
      <c r="A109" s="19">
        <v>44651</v>
      </c>
      <c r="B109">
        <v>3307.5</v>
      </c>
      <c r="C109">
        <v>3310.8286130000001</v>
      </c>
      <c r="D109">
        <v>3281.6860350000002</v>
      </c>
      <c r="E109">
        <v>3287.25</v>
      </c>
      <c r="F109" s="127">
        <v>3287.25</v>
      </c>
      <c r="G109">
        <v>14240</v>
      </c>
    </row>
    <row r="110" spans="1:7" x14ac:dyDescent="0.3">
      <c r="A110" s="19">
        <v>44652</v>
      </c>
      <c r="B110">
        <v>3245</v>
      </c>
      <c r="C110">
        <v>3252.5</v>
      </c>
      <c r="D110">
        <v>3241.469482</v>
      </c>
      <c r="E110">
        <v>3241.469482</v>
      </c>
      <c r="F110" s="127">
        <v>3241.469482</v>
      </c>
      <c r="G110">
        <v>5860</v>
      </c>
    </row>
    <row r="111" spans="1:7" x14ac:dyDescent="0.3">
      <c r="A111" s="19">
        <v>44655</v>
      </c>
      <c r="B111">
        <v>3272.0920409999999</v>
      </c>
      <c r="C111">
        <v>3329.9499510000001</v>
      </c>
      <c r="D111">
        <v>3272.0920409999999</v>
      </c>
      <c r="E111">
        <v>3327.0439449999999</v>
      </c>
      <c r="F111" s="127">
        <v>3327.0439449999999</v>
      </c>
      <c r="G111">
        <v>116980</v>
      </c>
    </row>
    <row r="112" spans="1:7" x14ac:dyDescent="0.3">
      <c r="A112" s="19">
        <v>44656</v>
      </c>
      <c r="B112">
        <v>3300</v>
      </c>
      <c r="C112">
        <v>3300</v>
      </c>
      <c r="D112">
        <v>3261.5</v>
      </c>
      <c r="E112">
        <v>3263.3535160000001</v>
      </c>
      <c r="F112" s="127">
        <v>3263.3535160000001</v>
      </c>
      <c r="G112">
        <v>110640</v>
      </c>
    </row>
    <row r="113" spans="1:7" x14ac:dyDescent="0.3">
      <c r="A113" s="19">
        <v>44657</v>
      </c>
      <c r="B113">
        <v>3218.0654300000001</v>
      </c>
      <c r="C113">
        <v>3230.6923830000001</v>
      </c>
      <c r="D113">
        <v>3172.3325199999999</v>
      </c>
      <c r="E113">
        <v>3212.9990229999999</v>
      </c>
      <c r="F113" s="127">
        <v>3212.9990229999999</v>
      </c>
      <c r="G113">
        <v>27400</v>
      </c>
    </row>
    <row r="114" spans="1:7" x14ac:dyDescent="0.3">
      <c r="A114" s="19">
        <v>44658</v>
      </c>
      <c r="B114">
        <v>3204.064453</v>
      </c>
      <c r="C114">
        <v>3212.1206050000001</v>
      </c>
      <c r="D114">
        <v>3122.5</v>
      </c>
      <c r="E114">
        <v>3187.2915039999998</v>
      </c>
      <c r="F114" s="127">
        <v>3187.2915039999998</v>
      </c>
      <c r="G114">
        <v>11660</v>
      </c>
    </row>
    <row r="115" spans="1:7" x14ac:dyDescent="0.3">
      <c r="A115" s="19">
        <v>44659</v>
      </c>
      <c r="B115">
        <v>3131.25</v>
      </c>
      <c r="C115">
        <v>3131.25</v>
      </c>
      <c r="D115">
        <v>3101.5</v>
      </c>
      <c r="E115">
        <v>3104.5</v>
      </c>
      <c r="F115" s="127">
        <v>3104.5</v>
      </c>
      <c r="G115">
        <v>4920</v>
      </c>
    </row>
    <row r="116" spans="1:7" x14ac:dyDescent="0.3">
      <c r="A116" s="19">
        <v>44662</v>
      </c>
      <c r="B116">
        <v>3060.0554200000001</v>
      </c>
      <c r="C116">
        <v>3060.0554200000001</v>
      </c>
      <c r="D116">
        <v>3014.6000979999999</v>
      </c>
      <c r="E116">
        <v>3014.6000979999999</v>
      </c>
      <c r="F116" s="127">
        <v>3014.6000979999999</v>
      </c>
      <c r="G116">
        <v>6040</v>
      </c>
    </row>
    <row r="117" spans="1:7" x14ac:dyDescent="0.3">
      <c r="A117" s="19">
        <v>44663</v>
      </c>
      <c r="B117">
        <v>3020</v>
      </c>
      <c r="C117">
        <v>3066.75</v>
      </c>
      <c r="D117">
        <v>2984.6999510000001</v>
      </c>
      <c r="E117">
        <v>2989.6403810000002</v>
      </c>
      <c r="F117" s="127">
        <v>2989.6403810000002</v>
      </c>
      <c r="G117">
        <v>9660</v>
      </c>
    </row>
    <row r="118" spans="1:7" x14ac:dyDescent="0.3">
      <c r="A118" s="19">
        <v>44664</v>
      </c>
      <c r="B118">
        <v>2975</v>
      </c>
      <c r="C118">
        <v>3057.0500489999999</v>
      </c>
      <c r="D118">
        <v>2975</v>
      </c>
      <c r="E118">
        <v>3057.0500489999999</v>
      </c>
      <c r="F118" s="127">
        <v>3057.0500489999999</v>
      </c>
      <c r="G118">
        <v>8680</v>
      </c>
    </row>
    <row r="119" spans="1:7" x14ac:dyDescent="0.3">
      <c r="A119" s="19">
        <v>44669</v>
      </c>
      <c r="B119">
        <v>3065</v>
      </c>
      <c r="C119">
        <v>3070.852539</v>
      </c>
      <c r="D119">
        <v>3001.75</v>
      </c>
      <c r="E119">
        <v>3055</v>
      </c>
      <c r="F119" s="127">
        <v>3055</v>
      </c>
      <c r="G119">
        <v>4100</v>
      </c>
    </row>
    <row r="120" spans="1:7" x14ac:dyDescent="0.3">
      <c r="A120" s="19">
        <v>44670</v>
      </c>
      <c r="B120">
        <v>3100</v>
      </c>
      <c r="C120">
        <v>3175.0024410000001</v>
      </c>
      <c r="D120">
        <v>3097.3999020000001</v>
      </c>
      <c r="E120">
        <v>3175.0024410000001</v>
      </c>
      <c r="F120" s="127">
        <v>3175.0024410000001</v>
      </c>
      <c r="G120">
        <v>14980</v>
      </c>
    </row>
    <row r="121" spans="1:7" x14ac:dyDescent="0.3">
      <c r="A121" s="19">
        <v>44671</v>
      </c>
      <c r="B121">
        <v>3135</v>
      </c>
      <c r="C121">
        <v>3135</v>
      </c>
      <c r="D121">
        <v>3087.6499020000001</v>
      </c>
      <c r="E121">
        <v>3090</v>
      </c>
      <c r="F121" s="127">
        <v>3090</v>
      </c>
      <c r="G121">
        <v>9480</v>
      </c>
    </row>
    <row r="122" spans="1:7" x14ac:dyDescent="0.3">
      <c r="A122" s="19">
        <v>44672</v>
      </c>
      <c r="B122">
        <v>3124.3520509999998</v>
      </c>
      <c r="C122">
        <v>3124.3520509999998</v>
      </c>
      <c r="D122">
        <v>2994.205078</v>
      </c>
      <c r="E122">
        <v>2994.205078</v>
      </c>
      <c r="F122" s="127">
        <v>2994.205078</v>
      </c>
      <c r="G122">
        <v>9560</v>
      </c>
    </row>
    <row r="123" spans="1:7" x14ac:dyDescent="0.3">
      <c r="A123" s="19">
        <v>44673</v>
      </c>
      <c r="B123">
        <v>3022.5</v>
      </c>
      <c r="C123">
        <v>3025.451904</v>
      </c>
      <c r="D123">
        <v>2910</v>
      </c>
      <c r="E123">
        <v>2929.8000489999999</v>
      </c>
      <c r="F123" s="127">
        <v>2929.8000489999999</v>
      </c>
      <c r="G123">
        <v>10540</v>
      </c>
    </row>
    <row r="124" spans="1:7" x14ac:dyDescent="0.3">
      <c r="A124" s="19">
        <v>44676</v>
      </c>
      <c r="B124">
        <v>2919.3745119999999</v>
      </c>
      <c r="C124">
        <v>2955</v>
      </c>
      <c r="D124">
        <v>2896.0195309999999</v>
      </c>
      <c r="E124">
        <v>2948.4135740000002</v>
      </c>
      <c r="F124" s="127">
        <v>2948.4135740000002</v>
      </c>
      <c r="G124">
        <v>7380</v>
      </c>
    </row>
    <row r="125" spans="1:7" x14ac:dyDescent="0.3">
      <c r="A125" s="19">
        <v>44677</v>
      </c>
      <c r="B125">
        <v>2892.7504880000001</v>
      </c>
      <c r="C125">
        <v>2892.7504880000001</v>
      </c>
      <c r="D125">
        <v>2835.415039</v>
      </c>
      <c r="E125">
        <v>2848.2810060000002</v>
      </c>
      <c r="F125" s="127">
        <v>2848.2810060000002</v>
      </c>
      <c r="G125">
        <v>17320</v>
      </c>
    </row>
    <row r="126" spans="1:7" x14ac:dyDescent="0.3">
      <c r="A126" s="19">
        <v>44678</v>
      </c>
      <c r="B126">
        <v>2876.25</v>
      </c>
      <c r="C126">
        <v>2892.5</v>
      </c>
      <c r="D126">
        <v>2809.5</v>
      </c>
      <c r="E126">
        <v>2814.6520999999998</v>
      </c>
      <c r="F126" s="127">
        <v>2814.6520999999998</v>
      </c>
      <c r="G126">
        <v>20140</v>
      </c>
    </row>
    <row r="127" spans="1:7" x14ac:dyDescent="0.3">
      <c r="A127" s="19">
        <v>44679</v>
      </c>
      <c r="B127">
        <v>2895.758057</v>
      </c>
      <c r="C127">
        <v>2982.8000489999999</v>
      </c>
      <c r="D127">
        <v>2894.3405760000001</v>
      </c>
      <c r="E127">
        <v>2964.2614749999998</v>
      </c>
      <c r="F127" s="127">
        <v>2964.2614749999998</v>
      </c>
      <c r="G127">
        <v>33420</v>
      </c>
    </row>
    <row r="128" spans="1:7" x14ac:dyDescent="0.3">
      <c r="A128" s="19">
        <v>44680</v>
      </c>
      <c r="B128">
        <v>2635.3278810000002</v>
      </c>
      <c r="C128">
        <v>2639.3405760000001</v>
      </c>
      <c r="D128">
        <v>2479.5410160000001</v>
      </c>
      <c r="E128">
        <v>2517.4045409999999</v>
      </c>
      <c r="F128" s="127">
        <v>2517.4045409999999</v>
      </c>
      <c r="G128">
        <v>136940</v>
      </c>
    </row>
    <row r="129" spans="1:7" x14ac:dyDescent="0.3">
      <c r="A129" s="19">
        <v>44683</v>
      </c>
      <c r="B129">
        <v>2517.4045409999999</v>
      </c>
      <c r="C129">
        <v>2530.4645999999998</v>
      </c>
      <c r="D129">
        <v>2455.4499510000001</v>
      </c>
      <c r="E129">
        <v>2526.8869629999999</v>
      </c>
      <c r="F129" s="127">
        <v>2526.8869629999999</v>
      </c>
      <c r="G129">
        <v>83140</v>
      </c>
    </row>
    <row r="130" spans="1:7" x14ac:dyDescent="0.3">
      <c r="A130" s="19">
        <v>44684</v>
      </c>
      <c r="B130">
        <v>2535</v>
      </c>
      <c r="C130">
        <v>2546.8530270000001</v>
      </c>
      <c r="D130">
        <v>2502.7504880000001</v>
      </c>
      <c r="E130">
        <v>2507.758057</v>
      </c>
      <c r="F130" s="127">
        <v>2507.758057</v>
      </c>
      <c r="G130">
        <v>24040</v>
      </c>
    </row>
    <row r="131" spans="1:7" x14ac:dyDescent="0.3">
      <c r="A131" s="19">
        <v>44685</v>
      </c>
      <c r="B131">
        <v>2456.25</v>
      </c>
      <c r="C131">
        <v>2520</v>
      </c>
      <c r="D131">
        <v>2421.0249020000001</v>
      </c>
      <c r="E131">
        <v>2515.4365229999999</v>
      </c>
      <c r="F131" s="127">
        <v>2515.4365229999999</v>
      </c>
      <c r="G131">
        <v>34380</v>
      </c>
    </row>
    <row r="132" spans="1:7" x14ac:dyDescent="0.3">
      <c r="A132" s="19">
        <v>44686</v>
      </c>
      <c r="B132">
        <v>2421</v>
      </c>
      <c r="C132">
        <v>2421</v>
      </c>
      <c r="D132">
        <v>2339.1999510000001</v>
      </c>
      <c r="E132">
        <v>2346.3029790000001</v>
      </c>
      <c r="F132" s="127">
        <v>2346.3029790000001</v>
      </c>
      <c r="G132">
        <v>233120</v>
      </c>
    </row>
    <row r="133" spans="1:7" x14ac:dyDescent="0.3">
      <c r="A133" s="19">
        <v>44687</v>
      </c>
      <c r="B133">
        <v>2313.1279300000001</v>
      </c>
      <c r="C133">
        <v>2371.5</v>
      </c>
      <c r="D133">
        <v>2292.6000979999999</v>
      </c>
      <c r="E133">
        <v>2315.75</v>
      </c>
      <c r="F133" s="127">
        <v>2315.75</v>
      </c>
      <c r="G133">
        <v>80340</v>
      </c>
    </row>
    <row r="134" spans="1:7" x14ac:dyDescent="0.3">
      <c r="A134" s="19">
        <v>44690</v>
      </c>
      <c r="B134">
        <v>2285</v>
      </c>
      <c r="C134">
        <v>2300.4399410000001</v>
      </c>
      <c r="D134">
        <v>2209.5</v>
      </c>
      <c r="E134">
        <v>2209.5</v>
      </c>
      <c r="F134" s="127">
        <v>2209.5</v>
      </c>
      <c r="G134">
        <v>68580</v>
      </c>
    </row>
    <row r="135" spans="1:7" x14ac:dyDescent="0.3">
      <c r="A135" s="19">
        <v>44691</v>
      </c>
      <c r="B135">
        <v>2255.149414</v>
      </c>
      <c r="C135">
        <v>2269.531982</v>
      </c>
      <c r="D135">
        <v>2190.0004880000001</v>
      </c>
      <c r="E135">
        <v>2217.4121089999999</v>
      </c>
      <c r="F135" s="127">
        <v>2217.4121089999999</v>
      </c>
      <c r="G135">
        <v>60180</v>
      </c>
    </row>
    <row r="136" spans="1:7" x14ac:dyDescent="0.3">
      <c r="A136" s="19">
        <v>44692</v>
      </c>
      <c r="B136">
        <v>2195</v>
      </c>
      <c r="C136">
        <v>2220.5004880000001</v>
      </c>
      <c r="D136">
        <v>2125</v>
      </c>
      <c r="E136">
        <v>2142.804932</v>
      </c>
      <c r="F136" s="127">
        <v>2142.804932</v>
      </c>
      <c r="G136">
        <v>39060</v>
      </c>
    </row>
    <row r="137" spans="1:7" x14ac:dyDescent="0.3">
      <c r="A137" s="19">
        <v>44693</v>
      </c>
      <c r="B137">
        <v>2110</v>
      </c>
      <c r="C137">
        <v>2243</v>
      </c>
      <c r="D137">
        <v>2110</v>
      </c>
      <c r="E137">
        <v>2155</v>
      </c>
      <c r="F137" s="127">
        <v>2155</v>
      </c>
      <c r="G137">
        <v>24260</v>
      </c>
    </row>
    <row r="138" spans="1:7" x14ac:dyDescent="0.3">
      <c r="A138" s="19">
        <v>44694</v>
      </c>
      <c r="B138">
        <v>2227.1999510000001</v>
      </c>
      <c r="C138">
        <v>2273.0839839999999</v>
      </c>
      <c r="D138">
        <v>2224.9116210000002</v>
      </c>
      <c r="E138">
        <v>2265.5920409999999</v>
      </c>
      <c r="F138" s="127">
        <v>2265.5920409999999</v>
      </c>
      <c r="G138">
        <v>49240</v>
      </c>
    </row>
    <row r="139" spans="1:7" x14ac:dyDescent="0.3">
      <c r="A139" s="19">
        <v>44697</v>
      </c>
      <c r="B139">
        <v>2252.9890140000002</v>
      </c>
      <c r="C139">
        <v>2281.6765140000002</v>
      </c>
      <c r="D139">
        <v>2215.5</v>
      </c>
      <c r="E139">
        <v>2217.7590329999998</v>
      </c>
      <c r="F139" s="127">
        <v>2217.7590329999998</v>
      </c>
      <c r="G139">
        <v>28780</v>
      </c>
    </row>
    <row r="140" spans="1:7" x14ac:dyDescent="0.3">
      <c r="A140" s="19">
        <v>44698</v>
      </c>
      <c r="B140">
        <v>2270.6999510000001</v>
      </c>
      <c r="C140">
        <v>2306.929443</v>
      </c>
      <c r="D140">
        <v>2231.2333979999999</v>
      </c>
      <c r="E140">
        <v>2297.3515630000002</v>
      </c>
      <c r="F140" s="127">
        <v>2297.3515630000002</v>
      </c>
      <c r="G140">
        <v>19540</v>
      </c>
    </row>
    <row r="141" spans="1:7" x14ac:dyDescent="0.3">
      <c r="A141" s="19">
        <v>44699</v>
      </c>
      <c r="B141">
        <v>2282.3510740000002</v>
      </c>
      <c r="C141">
        <v>2282.3510740000002</v>
      </c>
      <c r="D141">
        <v>2136.5234380000002</v>
      </c>
      <c r="E141">
        <v>2144.2285160000001</v>
      </c>
      <c r="F141" s="127">
        <v>2144.2285160000001</v>
      </c>
      <c r="G141">
        <v>21560</v>
      </c>
    </row>
    <row r="142" spans="1:7" x14ac:dyDescent="0.3">
      <c r="A142" s="19">
        <v>44700</v>
      </c>
      <c r="B142">
        <v>2145</v>
      </c>
      <c r="C142">
        <v>2171.8999020000001</v>
      </c>
      <c r="D142">
        <v>2127.6345209999999</v>
      </c>
      <c r="E142">
        <v>2141</v>
      </c>
      <c r="F142" s="127">
        <v>2141</v>
      </c>
      <c r="G142">
        <v>14640</v>
      </c>
    </row>
    <row r="143" spans="1:7" x14ac:dyDescent="0.3">
      <c r="A143" s="19">
        <v>44701</v>
      </c>
      <c r="B143">
        <v>2168.1499020000001</v>
      </c>
      <c r="C143">
        <v>2171.422607</v>
      </c>
      <c r="D143">
        <v>2095</v>
      </c>
      <c r="E143">
        <v>2108</v>
      </c>
      <c r="F143" s="127">
        <v>2108</v>
      </c>
      <c r="G143">
        <v>13640</v>
      </c>
    </row>
    <row r="144" spans="1:7" x14ac:dyDescent="0.3">
      <c r="A144" s="19">
        <v>44704</v>
      </c>
      <c r="B144">
        <v>2078.6889649999998</v>
      </c>
      <c r="C144">
        <v>2137.5</v>
      </c>
      <c r="D144">
        <v>2078</v>
      </c>
      <c r="E144">
        <v>2129.0048830000001</v>
      </c>
      <c r="F144" s="127">
        <v>2129.0048830000001</v>
      </c>
      <c r="G144">
        <v>15360</v>
      </c>
    </row>
    <row r="145" spans="1:7" x14ac:dyDescent="0.3">
      <c r="A145" s="19">
        <v>44705</v>
      </c>
      <c r="B145">
        <v>2050</v>
      </c>
      <c r="C145">
        <v>2073.2700199999999</v>
      </c>
      <c r="D145">
        <v>2015</v>
      </c>
      <c r="E145">
        <v>2063</v>
      </c>
      <c r="F145" s="127">
        <v>2063</v>
      </c>
      <c r="G145">
        <v>24980</v>
      </c>
    </row>
    <row r="146" spans="1:7" x14ac:dyDescent="0.3">
      <c r="A146" s="19">
        <v>44706</v>
      </c>
      <c r="B146">
        <v>2095.929443</v>
      </c>
      <c r="C146">
        <v>2130.25</v>
      </c>
      <c r="D146">
        <v>2095.929443</v>
      </c>
      <c r="E146">
        <v>2111.8950199999999</v>
      </c>
      <c r="F146" s="127">
        <v>2111.8950199999999</v>
      </c>
      <c r="G146">
        <v>13060</v>
      </c>
    </row>
    <row r="147" spans="1:7" x14ac:dyDescent="0.3">
      <c r="A147" s="19">
        <v>44707</v>
      </c>
      <c r="B147">
        <v>2178.679443</v>
      </c>
      <c r="C147">
        <v>2222.6000979999999</v>
      </c>
      <c r="D147">
        <v>2178.679443</v>
      </c>
      <c r="E147">
        <v>2207.5729980000001</v>
      </c>
      <c r="F147" s="127">
        <v>2207.5729980000001</v>
      </c>
      <c r="G147">
        <v>33500</v>
      </c>
    </row>
    <row r="148" spans="1:7" x14ac:dyDescent="0.3">
      <c r="A148" s="19">
        <v>44708</v>
      </c>
      <c r="B148">
        <v>2239.3295899999998</v>
      </c>
      <c r="C148">
        <v>2245</v>
      </c>
      <c r="D148">
        <v>2212.5</v>
      </c>
      <c r="E148">
        <v>2245</v>
      </c>
      <c r="F148" s="127">
        <v>2245</v>
      </c>
      <c r="G148">
        <v>60140</v>
      </c>
    </row>
    <row r="149" spans="1:7" x14ac:dyDescent="0.3">
      <c r="A149" s="19">
        <v>44711</v>
      </c>
      <c r="B149">
        <v>2245</v>
      </c>
      <c r="C149">
        <v>2245</v>
      </c>
      <c r="D149">
        <v>2245</v>
      </c>
      <c r="E149">
        <v>2245</v>
      </c>
      <c r="F149" s="127">
        <v>2245</v>
      </c>
      <c r="G149">
        <v>0</v>
      </c>
    </row>
    <row r="150" spans="1:7" x14ac:dyDescent="0.3">
      <c r="A150" s="19">
        <v>44712</v>
      </c>
      <c r="B150">
        <v>2279.5615229999999</v>
      </c>
      <c r="C150">
        <v>2397.5</v>
      </c>
      <c r="D150">
        <v>2274.25</v>
      </c>
      <c r="E150">
        <v>2385.2390140000002</v>
      </c>
      <c r="F150" s="127">
        <v>2385.2390140000002</v>
      </c>
      <c r="G150">
        <v>84480</v>
      </c>
    </row>
    <row r="151" spans="1:7" x14ac:dyDescent="0.3">
      <c r="A151" s="19">
        <v>44713</v>
      </c>
      <c r="B151">
        <v>2400</v>
      </c>
      <c r="C151">
        <v>2439.0500489999999</v>
      </c>
      <c r="D151">
        <v>2385</v>
      </c>
      <c r="E151">
        <v>2424.0290530000002</v>
      </c>
      <c r="F151" s="127">
        <v>2424.0290530000002</v>
      </c>
      <c r="G151">
        <v>43160</v>
      </c>
    </row>
    <row r="152" spans="1:7" x14ac:dyDescent="0.3">
      <c r="A152" s="19">
        <v>44714</v>
      </c>
      <c r="B152">
        <v>2367.5</v>
      </c>
      <c r="C152">
        <v>2450.5649410000001</v>
      </c>
      <c r="D152">
        <v>2367.5</v>
      </c>
      <c r="E152">
        <v>2447.7089839999999</v>
      </c>
      <c r="F152" s="127">
        <v>2447.7089839999999</v>
      </c>
      <c r="G152">
        <v>19160</v>
      </c>
    </row>
    <row r="153" spans="1:7" x14ac:dyDescent="0.3">
      <c r="A153" s="19">
        <v>44715</v>
      </c>
      <c r="B153">
        <v>2421</v>
      </c>
      <c r="C153">
        <v>2423.6000979999999</v>
      </c>
      <c r="D153">
        <v>2383.967529</v>
      </c>
      <c r="E153">
        <v>2391.3559570000002</v>
      </c>
      <c r="F153" s="127">
        <v>2391.3559570000002</v>
      </c>
      <c r="G153">
        <v>14400</v>
      </c>
    </row>
    <row r="154" spans="1:7" x14ac:dyDescent="0.3">
      <c r="A154" s="19">
        <v>44718</v>
      </c>
      <c r="B154">
        <v>2500</v>
      </c>
      <c r="C154">
        <v>2519.030029</v>
      </c>
      <c r="D154">
        <v>2426.8701169999999</v>
      </c>
      <c r="E154">
        <v>2434.8500979999999</v>
      </c>
      <c r="F154" s="127">
        <v>2434.8500979999999</v>
      </c>
      <c r="G154">
        <v>247075</v>
      </c>
    </row>
    <row r="155" spans="1:7" x14ac:dyDescent="0.3">
      <c r="A155" s="19">
        <v>44719</v>
      </c>
      <c r="B155">
        <v>2400</v>
      </c>
      <c r="C155">
        <v>2425.790039</v>
      </c>
      <c r="D155">
        <v>2360.01001</v>
      </c>
      <c r="E155">
        <v>2404.360107</v>
      </c>
      <c r="F155" s="127">
        <v>2404.360107</v>
      </c>
      <c r="G155">
        <v>42813</v>
      </c>
    </row>
    <row r="156" spans="1:7" x14ac:dyDescent="0.3">
      <c r="A156" s="19">
        <v>44720</v>
      </c>
      <c r="B156">
        <v>2410</v>
      </c>
      <c r="C156">
        <v>2425</v>
      </c>
      <c r="D156">
        <v>2367</v>
      </c>
      <c r="E156">
        <v>2372.8400879999999</v>
      </c>
      <c r="F156" s="127">
        <v>2372.8400879999999</v>
      </c>
      <c r="G156">
        <v>11683</v>
      </c>
    </row>
    <row r="157" spans="1:7" x14ac:dyDescent="0.3">
      <c r="A157" s="19">
        <v>44721</v>
      </c>
      <c r="B157">
        <v>2364.290039</v>
      </c>
      <c r="C157">
        <v>2373.709961</v>
      </c>
      <c r="D157">
        <v>2285.6999510000001</v>
      </c>
      <c r="E157">
        <v>2291.830078</v>
      </c>
      <c r="F157" s="127">
        <v>2291.830078</v>
      </c>
      <c r="G157">
        <v>37194</v>
      </c>
    </row>
    <row r="158" spans="1:7" x14ac:dyDescent="0.3">
      <c r="A158" s="19">
        <v>44722</v>
      </c>
      <c r="B158">
        <v>2254</v>
      </c>
      <c r="C158">
        <v>2264.919922</v>
      </c>
      <c r="D158">
        <v>2175</v>
      </c>
      <c r="E158">
        <v>2195.8701169999999</v>
      </c>
      <c r="F158" s="127">
        <v>2195.8701169999999</v>
      </c>
      <c r="G158">
        <v>70693</v>
      </c>
    </row>
    <row r="159" spans="1:7" x14ac:dyDescent="0.3">
      <c r="A159" s="19">
        <v>44725</v>
      </c>
      <c r="B159">
        <v>2140</v>
      </c>
      <c r="C159">
        <v>2168</v>
      </c>
      <c r="D159">
        <v>2088</v>
      </c>
      <c r="E159">
        <v>2125.6298830000001</v>
      </c>
      <c r="F159" s="127">
        <v>2125.6298830000001</v>
      </c>
      <c r="G159">
        <v>66527</v>
      </c>
    </row>
    <row r="160" spans="1:7" x14ac:dyDescent="0.3">
      <c r="A160" s="19">
        <v>44726</v>
      </c>
      <c r="B160">
        <v>2131.5200199999999</v>
      </c>
      <c r="C160">
        <v>2150</v>
      </c>
      <c r="D160">
        <v>2095</v>
      </c>
      <c r="E160">
        <v>2110.8999020000001</v>
      </c>
      <c r="F160" s="127">
        <v>2110.8999020000001</v>
      </c>
      <c r="G160">
        <v>13248</v>
      </c>
    </row>
    <row r="161" spans="1:7" x14ac:dyDescent="0.3">
      <c r="A161" s="19">
        <v>44727</v>
      </c>
      <c r="B161">
        <v>2111.9799800000001</v>
      </c>
      <c r="C161">
        <v>2222.219971</v>
      </c>
      <c r="D161">
        <v>2111.9799800000001</v>
      </c>
      <c r="E161">
        <v>2185.5200199999999</v>
      </c>
      <c r="F161" s="127">
        <v>2185.5200199999999</v>
      </c>
      <c r="G161">
        <v>19850</v>
      </c>
    </row>
    <row r="162" spans="1:7" x14ac:dyDescent="0.3">
      <c r="A162" s="19">
        <v>44728</v>
      </c>
      <c r="B162">
        <v>2170</v>
      </c>
      <c r="C162">
        <v>2170</v>
      </c>
      <c r="D162">
        <v>2083.3400879999999</v>
      </c>
      <c r="E162">
        <v>2113.1599120000001</v>
      </c>
      <c r="F162" s="127">
        <v>2113.1599120000001</v>
      </c>
      <c r="G162">
        <v>134098</v>
      </c>
    </row>
    <row r="163" spans="1:7" x14ac:dyDescent="0.3">
      <c r="A163" s="19">
        <v>44729</v>
      </c>
      <c r="B163">
        <v>2125</v>
      </c>
      <c r="C163">
        <v>2179.98999</v>
      </c>
      <c r="D163">
        <v>2125</v>
      </c>
      <c r="E163">
        <v>2162.360107</v>
      </c>
      <c r="F163" s="127">
        <v>2162.360107</v>
      </c>
      <c r="G163">
        <v>12917</v>
      </c>
    </row>
    <row r="164" spans="1:7" x14ac:dyDescent="0.3">
      <c r="A164" s="19">
        <v>44732</v>
      </c>
      <c r="B164">
        <v>2165</v>
      </c>
      <c r="C164">
        <v>2199.9799800000001</v>
      </c>
      <c r="D164">
        <v>2165</v>
      </c>
      <c r="E164">
        <v>2175</v>
      </c>
      <c r="F164" s="127">
        <v>2175</v>
      </c>
      <c r="G164">
        <v>459</v>
      </c>
    </row>
    <row r="165" spans="1:7" x14ac:dyDescent="0.3">
      <c r="A165" s="19">
        <v>44733</v>
      </c>
      <c r="B165">
        <v>2175</v>
      </c>
      <c r="C165">
        <v>2246.3100589999999</v>
      </c>
      <c r="D165">
        <v>2175</v>
      </c>
      <c r="E165">
        <v>2189.429932</v>
      </c>
      <c r="F165" s="127">
        <v>2189.429932</v>
      </c>
      <c r="G165">
        <v>6851</v>
      </c>
    </row>
    <row r="166" spans="1:7" x14ac:dyDescent="0.3">
      <c r="A166" s="19">
        <v>44734</v>
      </c>
      <c r="B166">
        <v>2189.429932</v>
      </c>
      <c r="C166">
        <v>2248</v>
      </c>
      <c r="D166">
        <v>2162</v>
      </c>
      <c r="E166">
        <v>2178.5600589999999</v>
      </c>
      <c r="F166" s="127">
        <v>2178.5600589999999</v>
      </c>
      <c r="G166">
        <v>10166</v>
      </c>
    </row>
    <row r="167" spans="1:7" x14ac:dyDescent="0.3">
      <c r="A167" s="19">
        <v>44735</v>
      </c>
      <c r="B167">
        <v>2208</v>
      </c>
      <c r="C167">
        <v>2259.98999</v>
      </c>
      <c r="D167">
        <v>2170</v>
      </c>
      <c r="E167">
        <v>2256.889893</v>
      </c>
      <c r="F167" s="127">
        <v>2256.889893</v>
      </c>
      <c r="G167">
        <v>12631</v>
      </c>
    </row>
    <row r="168" spans="1:7" x14ac:dyDescent="0.3">
      <c r="A168" s="19">
        <v>44736</v>
      </c>
      <c r="B168">
        <v>2259.01001</v>
      </c>
      <c r="C168">
        <v>2318.389893</v>
      </c>
      <c r="D168">
        <v>2221.1499020000001</v>
      </c>
      <c r="E168">
        <v>2297.530029</v>
      </c>
      <c r="F168" s="127">
        <v>2297.530029</v>
      </c>
      <c r="G168">
        <v>18157</v>
      </c>
    </row>
    <row r="169" spans="1:7" x14ac:dyDescent="0.3">
      <c r="A169" s="19">
        <v>44739</v>
      </c>
      <c r="B169">
        <v>2320</v>
      </c>
      <c r="C169">
        <v>2342.1599120000001</v>
      </c>
      <c r="D169">
        <v>2250.3999020000001</v>
      </c>
      <c r="E169">
        <v>2252.25</v>
      </c>
      <c r="F169" s="127">
        <v>2252.25</v>
      </c>
      <c r="G169">
        <v>13064</v>
      </c>
    </row>
    <row r="170" spans="1:7" x14ac:dyDescent="0.3">
      <c r="A170" s="19">
        <v>44740</v>
      </c>
      <c r="B170">
        <v>2265</v>
      </c>
      <c r="C170">
        <v>2286.4399410000001</v>
      </c>
      <c r="D170">
        <v>2155</v>
      </c>
      <c r="E170">
        <v>2164.4499510000001</v>
      </c>
      <c r="F170" s="127">
        <v>2164.4499510000001</v>
      </c>
      <c r="G170">
        <v>48154</v>
      </c>
    </row>
    <row r="171" spans="1:7" x14ac:dyDescent="0.3">
      <c r="A171" s="19">
        <v>44741</v>
      </c>
      <c r="B171">
        <v>2169.4399410000001</v>
      </c>
      <c r="C171">
        <v>2231.4099120000001</v>
      </c>
      <c r="D171">
        <v>2164.4499510000001</v>
      </c>
      <c r="E171">
        <v>2192.719971</v>
      </c>
      <c r="F171" s="127">
        <v>2192.719971</v>
      </c>
      <c r="G171">
        <v>21628</v>
      </c>
    </row>
    <row r="172" spans="1:7" x14ac:dyDescent="0.3">
      <c r="A172" s="19">
        <v>44742</v>
      </c>
      <c r="B172">
        <v>2165</v>
      </c>
      <c r="C172">
        <v>2165</v>
      </c>
      <c r="D172">
        <v>2071.9499510000001</v>
      </c>
      <c r="E172">
        <v>2134.540039</v>
      </c>
      <c r="F172" s="127">
        <v>2134.540039</v>
      </c>
      <c r="G172">
        <v>14069</v>
      </c>
    </row>
    <row r="173" spans="1:7" x14ac:dyDescent="0.3">
      <c r="A173" s="19">
        <v>44743</v>
      </c>
      <c r="B173">
        <v>2177.1000979999999</v>
      </c>
      <c r="C173">
        <v>2219.570068</v>
      </c>
      <c r="D173">
        <v>2173.98999</v>
      </c>
      <c r="E173">
        <v>2214.429932</v>
      </c>
      <c r="F173" s="127">
        <v>2214.429932</v>
      </c>
      <c r="G173">
        <v>29637</v>
      </c>
    </row>
    <row r="174" spans="1:7" x14ac:dyDescent="0.3">
      <c r="A174" s="19">
        <v>44746</v>
      </c>
      <c r="B174">
        <v>2229.98999</v>
      </c>
      <c r="C174">
        <v>2229.98999</v>
      </c>
      <c r="D174">
        <v>2214.429932</v>
      </c>
      <c r="E174">
        <v>2214.429932</v>
      </c>
      <c r="F174" s="127">
        <v>2214.429932</v>
      </c>
      <c r="G174">
        <v>297</v>
      </c>
    </row>
    <row r="175" spans="1:7" x14ac:dyDescent="0.3">
      <c r="A175" s="19">
        <v>44747</v>
      </c>
      <c r="B175">
        <v>2214.429932</v>
      </c>
      <c r="C175">
        <v>2347.1000979999999</v>
      </c>
      <c r="D175">
        <v>2182.290039</v>
      </c>
      <c r="E175">
        <v>2331.820068</v>
      </c>
      <c r="F175" s="127">
        <v>2331.820068</v>
      </c>
      <c r="G175">
        <v>16832</v>
      </c>
    </row>
    <row r="176" spans="1:7" x14ac:dyDescent="0.3">
      <c r="A176" s="19">
        <v>44748</v>
      </c>
      <c r="B176">
        <v>2333.25</v>
      </c>
      <c r="C176">
        <v>2384.110107</v>
      </c>
      <c r="D176">
        <v>2317.790039</v>
      </c>
      <c r="E176">
        <v>2361.0200199999999</v>
      </c>
      <c r="F176" s="127">
        <v>2361.0200199999999</v>
      </c>
      <c r="G176">
        <v>13346</v>
      </c>
    </row>
    <row r="177" spans="1:7" x14ac:dyDescent="0.3">
      <c r="A177" s="19">
        <v>44749</v>
      </c>
      <c r="B177">
        <v>2370</v>
      </c>
      <c r="C177">
        <v>2399.8500979999999</v>
      </c>
      <c r="D177">
        <v>2340</v>
      </c>
      <c r="E177">
        <v>2388.4399410000001</v>
      </c>
      <c r="F177" s="127">
        <v>2388.4399410000001</v>
      </c>
      <c r="G177">
        <v>27291</v>
      </c>
    </row>
    <row r="178" spans="1:7" x14ac:dyDescent="0.3">
      <c r="A178" s="19">
        <v>44750</v>
      </c>
      <c r="B178">
        <v>2400</v>
      </c>
      <c r="C178">
        <v>2400</v>
      </c>
      <c r="D178">
        <v>2330.209961</v>
      </c>
      <c r="E178">
        <v>2362.7700199999999</v>
      </c>
      <c r="F178" s="127">
        <v>2362.7700199999999</v>
      </c>
      <c r="G178">
        <v>6614</v>
      </c>
    </row>
    <row r="179" spans="1:7" x14ac:dyDescent="0.3">
      <c r="A179" s="19">
        <v>44753</v>
      </c>
      <c r="B179">
        <v>2358</v>
      </c>
      <c r="C179">
        <v>2358</v>
      </c>
      <c r="D179">
        <v>2309.570068</v>
      </c>
      <c r="E179">
        <v>2317.5</v>
      </c>
      <c r="F179" s="127">
        <v>2317.5</v>
      </c>
      <c r="G179">
        <v>8718</v>
      </c>
    </row>
    <row r="180" spans="1:7" x14ac:dyDescent="0.3">
      <c r="A180" s="19">
        <v>44754</v>
      </c>
      <c r="B180">
        <v>2343</v>
      </c>
      <c r="C180">
        <v>2356.889893</v>
      </c>
      <c r="D180">
        <v>2261.5500489999999</v>
      </c>
      <c r="E180">
        <v>2282.889893</v>
      </c>
      <c r="F180" s="127">
        <v>2282.889893</v>
      </c>
      <c r="G180">
        <v>7495</v>
      </c>
    </row>
    <row r="181" spans="1:7" x14ac:dyDescent="0.3">
      <c r="A181" s="19">
        <v>44755</v>
      </c>
      <c r="B181">
        <v>2250</v>
      </c>
      <c r="C181">
        <v>2309.530029</v>
      </c>
      <c r="D181">
        <v>2224.1999510000001</v>
      </c>
      <c r="E181">
        <v>2296.3000489999999</v>
      </c>
      <c r="F181" s="127">
        <v>2296.3000489999999</v>
      </c>
      <c r="G181">
        <v>12932</v>
      </c>
    </row>
    <row r="182" spans="1:7" x14ac:dyDescent="0.3">
      <c r="A182" s="19">
        <v>44756</v>
      </c>
      <c r="B182">
        <v>2300</v>
      </c>
      <c r="C182">
        <v>2310</v>
      </c>
      <c r="D182">
        <v>2264</v>
      </c>
      <c r="E182">
        <v>2299.3100589999999</v>
      </c>
      <c r="F182" s="127">
        <v>2299.3100589999999</v>
      </c>
      <c r="G182">
        <v>2627</v>
      </c>
    </row>
    <row r="183" spans="1:7" x14ac:dyDescent="0.3">
      <c r="A183" s="19">
        <v>44757</v>
      </c>
      <c r="B183">
        <v>2309</v>
      </c>
      <c r="C183">
        <v>2372</v>
      </c>
      <c r="D183">
        <v>2309</v>
      </c>
      <c r="E183">
        <v>2333.830078</v>
      </c>
      <c r="F183" s="127">
        <v>2333.830078</v>
      </c>
      <c r="G183">
        <v>15143</v>
      </c>
    </row>
    <row r="184" spans="1:7" x14ac:dyDescent="0.3">
      <c r="A184" s="19">
        <v>44760</v>
      </c>
      <c r="B184">
        <v>2340.3701169999999</v>
      </c>
      <c r="C184">
        <v>2389.8500979999999</v>
      </c>
      <c r="D184">
        <v>2326.2700199999999</v>
      </c>
      <c r="E184">
        <v>2328.3400879999999</v>
      </c>
      <c r="F184" s="127">
        <v>2328.3400879999999</v>
      </c>
      <c r="G184">
        <v>6856</v>
      </c>
    </row>
    <row r="185" spans="1:7" x14ac:dyDescent="0.3">
      <c r="A185" s="19">
        <v>44761</v>
      </c>
      <c r="B185">
        <v>2350</v>
      </c>
      <c r="C185">
        <v>2433</v>
      </c>
      <c r="D185">
        <v>2328.7299800000001</v>
      </c>
      <c r="E185">
        <v>2424.5</v>
      </c>
      <c r="F185" s="127">
        <v>2424.5</v>
      </c>
      <c r="G185">
        <v>19393</v>
      </c>
    </row>
    <row r="186" spans="1:7" x14ac:dyDescent="0.3">
      <c r="A186" s="19">
        <v>44762</v>
      </c>
      <c r="B186">
        <v>2424.5</v>
      </c>
      <c r="C186">
        <v>2530.610107</v>
      </c>
      <c r="D186">
        <v>2420.01001</v>
      </c>
      <c r="E186">
        <v>2521.110107</v>
      </c>
      <c r="F186" s="127">
        <v>2521.110107</v>
      </c>
      <c r="G186">
        <v>16679</v>
      </c>
    </row>
    <row r="187" spans="1:7" x14ac:dyDescent="0.3">
      <c r="A187" s="19">
        <v>44763</v>
      </c>
      <c r="B187">
        <v>2535</v>
      </c>
      <c r="C187">
        <v>2577.570068</v>
      </c>
      <c r="D187">
        <v>2500</v>
      </c>
      <c r="E187">
        <v>2576.0200199999999</v>
      </c>
      <c r="F187" s="127">
        <v>2576.0200199999999</v>
      </c>
      <c r="G187">
        <v>28605</v>
      </c>
    </row>
    <row r="188" spans="1:7" x14ac:dyDescent="0.3">
      <c r="A188" s="19">
        <v>44764</v>
      </c>
      <c r="B188">
        <v>2574.219971</v>
      </c>
      <c r="C188">
        <v>2576.0200199999999</v>
      </c>
      <c r="D188">
        <v>2495</v>
      </c>
      <c r="E188">
        <v>2516.3701169999999</v>
      </c>
      <c r="F188" s="127">
        <v>2516.3701169999999</v>
      </c>
      <c r="G188">
        <v>14681</v>
      </c>
    </row>
    <row r="189" spans="1:7" x14ac:dyDescent="0.3">
      <c r="A189" s="19">
        <v>44767</v>
      </c>
      <c r="B189">
        <v>2524</v>
      </c>
      <c r="C189">
        <v>2524</v>
      </c>
      <c r="D189">
        <v>2459</v>
      </c>
      <c r="E189">
        <v>2474.360107</v>
      </c>
      <c r="F189" s="127">
        <v>2474.360107</v>
      </c>
      <c r="G189">
        <v>15075</v>
      </c>
    </row>
    <row r="190" spans="1:7" x14ac:dyDescent="0.3">
      <c r="A190" s="19">
        <v>44768</v>
      </c>
      <c r="B190">
        <v>2389.6000979999999</v>
      </c>
      <c r="C190">
        <v>2413</v>
      </c>
      <c r="D190">
        <v>2344.330078</v>
      </c>
      <c r="E190">
        <v>2352.110107</v>
      </c>
      <c r="F190" s="127">
        <v>2352.110107</v>
      </c>
      <c r="G190">
        <v>5499</v>
      </c>
    </row>
    <row r="191" spans="1:7" x14ac:dyDescent="0.3">
      <c r="A191" s="19">
        <v>44769</v>
      </c>
      <c r="B191">
        <v>2400.01001</v>
      </c>
      <c r="C191">
        <v>2474.070068</v>
      </c>
      <c r="D191">
        <v>2395.1298830000001</v>
      </c>
      <c r="E191">
        <v>2465.889893</v>
      </c>
      <c r="F191" s="127">
        <v>2465.889893</v>
      </c>
      <c r="G191">
        <v>9391</v>
      </c>
    </row>
    <row r="192" spans="1:7" x14ac:dyDescent="0.3">
      <c r="A192" s="19">
        <v>44770</v>
      </c>
      <c r="B192">
        <v>2470</v>
      </c>
      <c r="C192">
        <v>2491.3000489999999</v>
      </c>
      <c r="D192">
        <v>2410</v>
      </c>
      <c r="E192">
        <v>2470.330078</v>
      </c>
      <c r="F192" s="127">
        <v>2470.330078</v>
      </c>
      <c r="G192">
        <v>62355</v>
      </c>
    </row>
    <row r="193" spans="1:7" x14ac:dyDescent="0.3">
      <c r="A193" s="19">
        <v>44771</v>
      </c>
      <c r="B193">
        <v>2720</v>
      </c>
      <c r="C193">
        <v>2799</v>
      </c>
      <c r="D193">
        <v>2691</v>
      </c>
      <c r="E193">
        <v>2762.0600589999999</v>
      </c>
      <c r="F193" s="127">
        <v>2762.0600589999999</v>
      </c>
      <c r="G193">
        <v>95129</v>
      </c>
    </row>
    <row r="194" spans="1:7" x14ac:dyDescent="0.3">
      <c r="A194" s="19">
        <v>44774</v>
      </c>
      <c r="B194">
        <v>2747.3100589999999</v>
      </c>
      <c r="C194">
        <v>2810</v>
      </c>
      <c r="D194">
        <v>2726</v>
      </c>
      <c r="E194">
        <v>2756.9099120000001</v>
      </c>
      <c r="F194" s="127">
        <v>2756.9099120000001</v>
      </c>
      <c r="G194">
        <v>11759</v>
      </c>
    </row>
    <row r="195" spans="1:7" x14ac:dyDescent="0.3">
      <c r="A195" s="19">
        <v>44775</v>
      </c>
      <c r="B195">
        <v>2754.419922</v>
      </c>
      <c r="C195">
        <v>2820.0200199999999</v>
      </c>
      <c r="D195">
        <v>2754.419922</v>
      </c>
      <c r="E195">
        <v>2789.639893</v>
      </c>
      <c r="F195" s="127">
        <v>2789.639893</v>
      </c>
      <c r="G195">
        <v>21753</v>
      </c>
    </row>
    <row r="196" spans="1:7" x14ac:dyDescent="0.3">
      <c r="A196" s="19">
        <v>44776</v>
      </c>
      <c r="B196">
        <v>2799.98999</v>
      </c>
      <c r="C196">
        <v>2877</v>
      </c>
      <c r="D196">
        <v>2799.98999</v>
      </c>
      <c r="E196">
        <v>2866.929932</v>
      </c>
      <c r="F196" s="127">
        <v>2866.929932</v>
      </c>
      <c r="G196">
        <v>81230</v>
      </c>
    </row>
    <row r="197" spans="1:7" x14ac:dyDescent="0.3">
      <c r="A197" s="19">
        <v>44777</v>
      </c>
      <c r="B197">
        <v>2875</v>
      </c>
      <c r="C197">
        <v>2924.9799800000001</v>
      </c>
      <c r="D197">
        <v>2850</v>
      </c>
      <c r="E197">
        <v>2896.1999510000001</v>
      </c>
      <c r="F197" s="127">
        <v>2896.1999510000001</v>
      </c>
      <c r="G197">
        <v>52576</v>
      </c>
    </row>
    <row r="198" spans="1:7" x14ac:dyDescent="0.3">
      <c r="A198" s="19">
        <v>44778</v>
      </c>
      <c r="B198">
        <v>2895.01001</v>
      </c>
      <c r="C198">
        <v>2914.3999020000001</v>
      </c>
      <c r="D198">
        <v>2852.0600589999999</v>
      </c>
      <c r="E198">
        <v>2866.3999020000001</v>
      </c>
      <c r="F198" s="127">
        <v>2866.3999020000001</v>
      </c>
      <c r="G198">
        <v>13025</v>
      </c>
    </row>
    <row r="199" spans="1:7" x14ac:dyDescent="0.3">
      <c r="A199" s="19">
        <v>44781</v>
      </c>
      <c r="B199">
        <v>2871.01001</v>
      </c>
      <c r="C199">
        <v>2925.5900879999999</v>
      </c>
      <c r="D199">
        <v>2801.01001</v>
      </c>
      <c r="E199">
        <v>2820.76001</v>
      </c>
      <c r="F199" s="127">
        <v>2820.76001</v>
      </c>
      <c r="G199">
        <v>10719</v>
      </c>
    </row>
    <row r="200" spans="1:7" x14ac:dyDescent="0.3">
      <c r="A200" s="19">
        <v>44782</v>
      </c>
      <c r="B200">
        <v>2827</v>
      </c>
      <c r="C200">
        <v>2827</v>
      </c>
      <c r="D200">
        <v>2760</v>
      </c>
      <c r="E200">
        <v>2789.959961</v>
      </c>
      <c r="F200" s="127">
        <v>2789.959961</v>
      </c>
      <c r="G200">
        <v>15493</v>
      </c>
    </row>
    <row r="201" spans="1:7" x14ac:dyDescent="0.3">
      <c r="A201" s="19">
        <v>44783</v>
      </c>
      <c r="B201">
        <v>2850</v>
      </c>
      <c r="C201">
        <v>2870</v>
      </c>
      <c r="D201">
        <v>2818.75</v>
      </c>
      <c r="E201">
        <v>2861.169922</v>
      </c>
      <c r="F201" s="127">
        <v>2861.169922</v>
      </c>
      <c r="G201">
        <v>17158</v>
      </c>
    </row>
    <row r="202" spans="1:7" x14ac:dyDescent="0.3">
      <c r="A202" s="19">
        <v>44784</v>
      </c>
      <c r="B202">
        <v>2875.469971</v>
      </c>
      <c r="C202">
        <v>2875.469971</v>
      </c>
      <c r="D202">
        <v>2793</v>
      </c>
      <c r="E202">
        <v>2804.7700199999999</v>
      </c>
      <c r="F202" s="127">
        <v>2804.7700199999999</v>
      </c>
      <c r="G202">
        <v>12725</v>
      </c>
    </row>
    <row r="203" spans="1:7" x14ac:dyDescent="0.3">
      <c r="A203" s="19">
        <v>44785</v>
      </c>
      <c r="B203">
        <v>2804.780029</v>
      </c>
      <c r="C203">
        <v>2849.2700199999999</v>
      </c>
      <c r="D203">
        <v>2787.3999020000001</v>
      </c>
      <c r="E203">
        <v>2836.8798830000001</v>
      </c>
      <c r="F203" s="127">
        <v>2836.8798830000001</v>
      </c>
      <c r="G203">
        <v>127391</v>
      </c>
    </row>
    <row r="204" spans="1:7" x14ac:dyDescent="0.3">
      <c r="A204" s="19">
        <v>44788</v>
      </c>
      <c r="B204">
        <v>2851.0600589999999</v>
      </c>
      <c r="C204">
        <v>2860.6999510000001</v>
      </c>
      <c r="D204">
        <v>2816.0200199999999</v>
      </c>
      <c r="E204">
        <v>2838.280029</v>
      </c>
      <c r="F204" s="127">
        <v>2838.280029</v>
      </c>
      <c r="G204">
        <v>129397</v>
      </c>
    </row>
    <row r="205" spans="1:7" x14ac:dyDescent="0.3">
      <c r="A205" s="19">
        <v>44789</v>
      </c>
      <c r="B205">
        <v>2852.469971</v>
      </c>
      <c r="C205">
        <v>2914.669922</v>
      </c>
      <c r="D205">
        <v>2832.969971</v>
      </c>
      <c r="E205">
        <v>2887.2299800000001</v>
      </c>
      <c r="F205" s="127">
        <v>2887.2299800000001</v>
      </c>
      <c r="G205">
        <v>17557</v>
      </c>
    </row>
    <row r="206" spans="1:7" x14ac:dyDescent="0.3">
      <c r="A206" s="19">
        <v>44790</v>
      </c>
      <c r="B206">
        <v>2850</v>
      </c>
      <c r="C206">
        <v>2871.080078</v>
      </c>
      <c r="D206">
        <v>2823.01001</v>
      </c>
      <c r="E206">
        <v>2836.719971</v>
      </c>
      <c r="F206" s="127">
        <v>2836.719971</v>
      </c>
      <c r="G206">
        <v>10773</v>
      </c>
    </row>
    <row r="207" spans="1:7" x14ac:dyDescent="0.3">
      <c r="A207" s="19">
        <v>44791</v>
      </c>
      <c r="B207">
        <v>2836.719971</v>
      </c>
      <c r="C207">
        <v>2871</v>
      </c>
      <c r="D207">
        <v>2816.0200199999999</v>
      </c>
      <c r="E207">
        <v>2861.3999020000001</v>
      </c>
      <c r="F207" s="127">
        <v>2861.3999020000001</v>
      </c>
      <c r="G207">
        <v>6887</v>
      </c>
    </row>
    <row r="208" spans="1:7" x14ac:dyDescent="0.3">
      <c r="A208" s="19">
        <v>44792</v>
      </c>
      <c r="B208">
        <v>2856</v>
      </c>
      <c r="C208">
        <v>2856</v>
      </c>
      <c r="D208">
        <v>2780.070068</v>
      </c>
      <c r="E208">
        <v>2792.790039</v>
      </c>
      <c r="F208" s="127">
        <v>2792.790039</v>
      </c>
      <c r="G208">
        <v>11907</v>
      </c>
    </row>
    <row r="209" spans="1:7" x14ac:dyDescent="0.3">
      <c r="A209" s="19">
        <v>44795</v>
      </c>
      <c r="B209">
        <v>2784.6499020000001</v>
      </c>
      <c r="C209">
        <v>2784.6499020000001</v>
      </c>
      <c r="D209">
        <v>2674.01001</v>
      </c>
      <c r="E209">
        <v>2684.4499510000001</v>
      </c>
      <c r="F209" s="127">
        <v>2684.4499510000001</v>
      </c>
      <c r="G209">
        <v>13697</v>
      </c>
    </row>
    <row r="210" spans="1:7" x14ac:dyDescent="0.3">
      <c r="A210" s="19">
        <v>44796</v>
      </c>
      <c r="B210">
        <v>2682</v>
      </c>
      <c r="C210">
        <v>2696</v>
      </c>
      <c r="D210">
        <v>2661.709961</v>
      </c>
      <c r="E210">
        <v>2669.209961</v>
      </c>
      <c r="F210" s="127">
        <v>2669.209961</v>
      </c>
      <c r="G210">
        <v>3977</v>
      </c>
    </row>
    <row r="211" spans="1:7" x14ac:dyDescent="0.3">
      <c r="A211" s="19">
        <v>44797</v>
      </c>
      <c r="B211">
        <v>2671.0200199999999</v>
      </c>
      <c r="C211">
        <v>2696.3798830000001</v>
      </c>
      <c r="D211">
        <v>2640</v>
      </c>
      <c r="E211">
        <v>2673.2700199999999</v>
      </c>
      <c r="F211" s="127">
        <v>2673.2700199999999</v>
      </c>
      <c r="G211">
        <v>4500</v>
      </c>
    </row>
    <row r="212" spans="1:7" x14ac:dyDescent="0.3">
      <c r="A212" s="19">
        <v>44798</v>
      </c>
      <c r="B212">
        <v>2678.5900879999999</v>
      </c>
      <c r="C212">
        <v>2734.9099120000001</v>
      </c>
      <c r="D212">
        <v>2666.7700199999999</v>
      </c>
      <c r="E212">
        <v>2724.5200199999999</v>
      </c>
      <c r="F212" s="127">
        <v>2724.5200199999999</v>
      </c>
      <c r="G212">
        <v>8816</v>
      </c>
    </row>
    <row r="213" spans="1:7" x14ac:dyDescent="0.3">
      <c r="A213" s="19">
        <v>44799</v>
      </c>
      <c r="B213">
        <v>2657.1000979999999</v>
      </c>
      <c r="C213">
        <v>2657.1000979999999</v>
      </c>
      <c r="D213">
        <v>2624</v>
      </c>
      <c r="E213">
        <v>2624</v>
      </c>
      <c r="F213" s="127">
        <v>2624</v>
      </c>
      <c r="G213">
        <v>2210</v>
      </c>
    </row>
    <row r="214" spans="1:7" x14ac:dyDescent="0.3">
      <c r="A214" s="19">
        <v>44802</v>
      </c>
      <c r="B214">
        <v>2600</v>
      </c>
      <c r="C214">
        <v>2638</v>
      </c>
      <c r="D214">
        <v>2575.0500489999999</v>
      </c>
      <c r="E214">
        <v>2619.4799800000001</v>
      </c>
      <c r="F214" s="127">
        <v>2619.4799800000001</v>
      </c>
      <c r="G214">
        <v>6713</v>
      </c>
    </row>
    <row r="215" spans="1:7" x14ac:dyDescent="0.3">
      <c r="A215" s="19">
        <v>44803</v>
      </c>
      <c r="B215">
        <v>2608.3100589999999</v>
      </c>
      <c r="C215">
        <v>2631</v>
      </c>
      <c r="D215">
        <v>2556.01001</v>
      </c>
      <c r="E215">
        <v>2591.639893</v>
      </c>
      <c r="F215" s="127">
        <v>2591.639893</v>
      </c>
      <c r="G215">
        <v>2856</v>
      </c>
    </row>
    <row r="216" spans="1:7" x14ac:dyDescent="0.3">
      <c r="A216" s="19">
        <v>44804</v>
      </c>
      <c r="B216">
        <v>2618</v>
      </c>
      <c r="C216">
        <v>2618</v>
      </c>
      <c r="D216">
        <v>2550.0900879999999</v>
      </c>
      <c r="E216">
        <v>2563.2299800000001</v>
      </c>
      <c r="F216" s="127">
        <v>2563.2299800000001</v>
      </c>
      <c r="G216">
        <v>1108</v>
      </c>
    </row>
    <row r="217" spans="1:7" x14ac:dyDescent="0.3">
      <c r="A217" s="19">
        <v>44805</v>
      </c>
      <c r="B217">
        <v>2550.0900879999999</v>
      </c>
      <c r="C217">
        <v>2579.179932</v>
      </c>
      <c r="D217">
        <v>2500.219971</v>
      </c>
      <c r="E217">
        <v>2578.6298830000001</v>
      </c>
      <c r="F217" s="127">
        <v>2578.6298830000001</v>
      </c>
      <c r="G217">
        <v>34247</v>
      </c>
    </row>
    <row r="218" spans="1:7" x14ac:dyDescent="0.3">
      <c r="A218" s="19">
        <v>44806</v>
      </c>
      <c r="B218">
        <v>2570.01001</v>
      </c>
      <c r="C218">
        <v>2622</v>
      </c>
      <c r="D218">
        <v>2530</v>
      </c>
      <c r="E218">
        <v>2537.26001</v>
      </c>
      <c r="F218" s="127">
        <v>2537.26001</v>
      </c>
      <c r="G218">
        <v>24589</v>
      </c>
    </row>
    <row r="219" spans="1:7" x14ac:dyDescent="0.3">
      <c r="A219" s="19">
        <v>44809</v>
      </c>
      <c r="B219">
        <v>2537.26001</v>
      </c>
      <c r="C219">
        <v>2545</v>
      </c>
      <c r="D219">
        <v>2537.26001</v>
      </c>
      <c r="E219">
        <v>2545</v>
      </c>
      <c r="F219" s="127">
        <v>2545</v>
      </c>
      <c r="G219">
        <v>83</v>
      </c>
    </row>
    <row r="220" spans="1:7" x14ac:dyDescent="0.3">
      <c r="A220" s="19">
        <v>44810</v>
      </c>
      <c r="B220">
        <v>2577</v>
      </c>
      <c r="C220">
        <v>2577</v>
      </c>
      <c r="D220">
        <v>2518.01001</v>
      </c>
      <c r="E220">
        <v>2538.610107</v>
      </c>
      <c r="F220" s="127">
        <v>2538.610107</v>
      </c>
      <c r="G220">
        <v>3004</v>
      </c>
    </row>
    <row r="221" spans="1:7" x14ac:dyDescent="0.3">
      <c r="A221" s="19">
        <v>44811</v>
      </c>
      <c r="B221">
        <v>2539</v>
      </c>
      <c r="C221">
        <v>2590.5</v>
      </c>
      <c r="D221">
        <v>2525.330078</v>
      </c>
      <c r="E221">
        <v>2585.469971</v>
      </c>
      <c r="F221" s="127">
        <v>2585.469971</v>
      </c>
      <c r="G221">
        <v>1701</v>
      </c>
    </row>
    <row r="222" spans="1:7" x14ac:dyDescent="0.3">
      <c r="A222" s="19">
        <v>44812</v>
      </c>
      <c r="B222">
        <v>2582.169922</v>
      </c>
      <c r="C222">
        <v>2608.3100589999999</v>
      </c>
      <c r="D222">
        <v>2551</v>
      </c>
      <c r="E222">
        <v>2581.9099120000001</v>
      </c>
      <c r="F222" s="127">
        <v>2581.9099120000001</v>
      </c>
      <c r="G222">
        <v>3885</v>
      </c>
    </row>
    <row r="223" spans="1:7" x14ac:dyDescent="0.3">
      <c r="A223" s="19">
        <v>44813</v>
      </c>
      <c r="B223">
        <v>2591.679932</v>
      </c>
      <c r="C223">
        <v>2655</v>
      </c>
      <c r="D223">
        <v>2591.679932</v>
      </c>
      <c r="E223">
        <v>2654.6899410000001</v>
      </c>
      <c r="F223" s="127">
        <v>2654.6899410000001</v>
      </c>
      <c r="G223">
        <v>19929</v>
      </c>
    </row>
    <row r="224" spans="1:7" x14ac:dyDescent="0.3">
      <c r="A224" s="19">
        <v>44816</v>
      </c>
      <c r="B224">
        <v>2660</v>
      </c>
      <c r="C224">
        <v>2709</v>
      </c>
      <c r="D224">
        <v>2660</v>
      </c>
      <c r="E224">
        <v>2708.48999</v>
      </c>
      <c r="F224" s="127">
        <v>2708.48999</v>
      </c>
      <c r="G224">
        <v>8622</v>
      </c>
    </row>
    <row r="225" spans="1:7" x14ac:dyDescent="0.3">
      <c r="A225" s="19">
        <v>44817</v>
      </c>
      <c r="B225">
        <v>2669</v>
      </c>
      <c r="C225">
        <v>2669</v>
      </c>
      <c r="D225">
        <v>2545</v>
      </c>
      <c r="E225">
        <v>2547.5500489999999</v>
      </c>
      <c r="F225" s="127">
        <v>2547.5500489999999</v>
      </c>
      <c r="G225">
        <v>19771</v>
      </c>
    </row>
    <row r="226" spans="1:7" x14ac:dyDescent="0.3">
      <c r="A226" s="19">
        <v>44818</v>
      </c>
      <c r="B226">
        <v>2547.5500489999999</v>
      </c>
      <c r="C226">
        <v>2578.5500489999999</v>
      </c>
      <c r="D226">
        <v>2536</v>
      </c>
      <c r="E226">
        <v>2561.3999020000001</v>
      </c>
      <c r="F226" s="127">
        <v>2561.3999020000001</v>
      </c>
      <c r="G226">
        <v>4516</v>
      </c>
    </row>
    <row r="227" spans="1:7" x14ac:dyDescent="0.3">
      <c r="A227" s="19">
        <v>44819</v>
      </c>
      <c r="B227">
        <v>2561.3999020000001</v>
      </c>
      <c r="C227">
        <v>2608.1899410000001</v>
      </c>
      <c r="D227">
        <v>2525.389893</v>
      </c>
      <c r="E227">
        <v>2531.8798830000001</v>
      </c>
      <c r="F227" s="127">
        <v>2531.8798830000001</v>
      </c>
      <c r="G227">
        <v>28750</v>
      </c>
    </row>
    <row r="228" spans="1:7" x14ac:dyDescent="0.3">
      <c r="A228" s="19">
        <v>44823</v>
      </c>
      <c r="B228">
        <v>2500</v>
      </c>
      <c r="C228">
        <v>2500</v>
      </c>
      <c r="D228">
        <v>2455.669922</v>
      </c>
      <c r="E228">
        <v>2476.330078</v>
      </c>
      <c r="F228" s="127">
        <v>2476.330078</v>
      </c>
      <c r="G228">
        <v>3323</v>
      </c>
    </row>
    <row r="229" spans="1:7" x14ac:dyDescent="0.3">
      <c r="A229" s="19">
        <v>44824</v>
      </c>
      <c r="B229">
        <v>2480</v>
      </c>
      <c r="C229">
        <v>2484.3500979999999</v>
      </c>
      <c r="D229">
        <v>2428</v>
      </c>
      <c r="E229">
        <v>2447.5600589999999</v>
      </c>
      <c r="F229" s="127">
        <v>2447.5600589999999</v>
      </c>
      <c r="G229">
        <v>10247</v>
      </c>
    </row>
    <row r="230" spans="1:7" x14ac:dyDescent="0.3">
      <c r="A230" s="19">
        <v>44825</v>
      </c>
      <c r="B230">
        <v>2447.5600589999999</v>
      </c>
      <c r="C230">
        <v>2455.98999</v>
      </c>
      <c r="D230">
        <v>2375.0200199999999</v>
      </c>
      <c r="E230">
        <v>2376.1599120000001</v>
      </c>
      <c r="F230" s="127">
        <v>2376.1599120000001</v>
      </c>
      <c r="G230">
        <v>7144</v>
      </c>
    </row>
    <row r="231" spans="1:7" x14ac:dyDescent="0.3">
      <c r="A231" s="19">
        <v>44826</v>
      </c>
      <c r="B231">
        <v>2382.969971</v>
      </c>
      <c r="C231">
        <v>2382.969971</v>
      </c>
      <c r="D231">
        <v>2321</v>
      </c>
      <c r="E231">
        <v>2360.1000979999999</v>
      </c>
      <c r="F231" s="127">
        <v>2360.1000979999999</v>
      </c>
      <c r="G231">
        <v>5257</v>
      </c>
    </row>
    <row r="232" spans="1:7" x14ac:dyDescent="0.3">
      <c r="A232" s="19">
        <v>44827</v>
      </c>
      <c r="B232">
        <v>2335</v>
      </c>
      <c r="C232">
        <v>2335</v>
      </c>
      <c r="D232">
        <v>2268.1999510000001</v>
      </c>
      <c r="E232">
        <v>2296.4099120000001</v>
      </c>
      <c r="F232" s="127">
        <v>2296.4099120000001</v>
      </c>
      <c r="G232">
        <v>11015</v>
      </c>
    </row>
    <row r="233" spans="1:7" x14ac:dyDescent="0.3">
      <c r="A233" s="19">
        <v>44830</v>
      </c>
      <c r="B233">
        <v>2296</v>
      </c>
      <c r="C233">
        <v>2374</v>
      </c>
      <c r="D233">
        <v>2296</v>
      </c>
      <c r="E233">
        <v>2350.8701169999999</v>
      </c>
      <c r="F233" s="127">
        <v>2350.8701169999999</v>
      </c>
      <c r="G233">
        <v>10000</v>
      </c>
    </row>
    <row r="234" spans="1:7" x14ac:dyDescent="0.3">
      <c r="A234" s="19">
        <v>44831</v>
      </c>
      <c r="B234">
        <v>2391.01001</v>
      </c>
      <c r="C234">
        <v>2402</v>
      </c>
      <c r="D234">
        <v>2312.610107</v>
      </c>
      <c r="E234">
        <v>2342.0900879999999</v>
      </c>
      <c r="F234" s="127">
        <v>2342.0900879999999</v>
      </c>
      <c r="G234">
        <v>9294</v>
      </c>
    </row>
    <row r="235" spans="1:7" x14ac:dyDescent="0.3">
      <c r="A235" s="19">
        <v>44832</v>
      </c>
      <c r="B235">
        <v>2335</v>
      </c>
      <c r="C235">
        <v>2389.8999020000001</v>
      </c>
      <c r="D235">
        <v>2318.3999020000001</v>
      </c>
      <c r="E235">
        <v>2387.030029</v>
      </c>
      <c r="F235" s="127">
        <v>2387.030029</v>
      </c>
      <c r="G235">
        <v>8404</v>
      </c>
    </row>
    <row r="236" spans="1:7" x14ac:dyDescent="0.3">
      <c r="A236" s="19">
        <v>44833</v>
      </c>
      <c r="B236">
        <v>2370</v>
      </c>
      <c r="C236">
        <v>2370</v>
      </c>
      <c r="D236">
        <v>2281.0200199999999</v>
      </c>
      <c r="E236">
        <v>2317.2299800000001</v>
      </c>
      <c r="F236" s="127">
        <v>2317.2299800000001</v>
      </c>
      <c r="G236">
        <v>5573</v>
      </c>
    </row>
    <row r="237" spans="1:7" x14ac:dyDescent="0.3">
      <c r="A237" s="19">
        <v>44834</v>
      </c>
      <c r="B237">
        <v>2289</v>
      </c>
      <c r="C237">
        <v>2346</v>
      </c>
      <c r="D237">
        <v>2276</v>
      </c>
      <c r="E237">
        <v>2284.330078</v>
      </c>
      <c r="F237" s="127">
        <v>2284.330078</v>
      </c>
      <c r="G237">
        <v>10550</v>
      </c>
    </row>
    <row r="238" spans="1:7" x14ac:dyDescent="0.3">
      <c r="A238" s="19">
        <v>44837</v>
      </c>
      <c r="B238">
        <v>2270.459961</v>
      </c>
      <c r="C238">
        <v>2337.8701169999999</v>
      </c>
      <c r="D238">
        <v>2264</v>
      </c>
      <c r="E238">
        <v>2318.1499020000001</v>
      </c>
      <c r="F238" s="127">
        <v>2318.1499020000001</v>
      </c>
      <c r="G238">
        <v>2296</v>
      </c>
    </row>
    <row r="239" spans="1:7" x14ac:dyDescent="0.3">
      <c r="A239" s="19">
        <v>44838</v>
      </c>
      <c r="B239">
        <v>2395</v>
      </c>
      <c r="C239">
        <v>2457</v>
      </c>
      <c r="D239">
        <v>2395</v>
      </c>
      <c r="E239">
        <v>2410.419922</v>
      </c>
      <c r="F239" s="127">
        <v>2410.419922</v>
      </c>
      <c r="G239">
        <v>32888</v>
      </c>
    </row>
    <row r="240" spans="1:7" x14ac:dyDescent="0.3">
      <c r="A240" s="19">
        <v>44839</v>
      </c>
      <c r="B240">
        <v>2410.01001</v>
      </c>
      <c r="C240">
        <v>2438</v>
      </c>
      <c r="D240">
        <v>2367.3100589999999</v>
      </c>
      <c r="E240">
        <v>2434.6298830000001</v>
      </c>
      <c r="F240" s="127">
        <v>2434.6298830000001</v>
      </c>
      <c r="G240">
        <v>9351</v>
      </c>
    </row>
    <row r="241" spans="1:7" x14ac:dyDescent="0.3">
      <c r="A241" s="19">
        <v>44840</v>
      </c>
      <c r="B241">
        <v>2434.98999</v>
      </c>
      <c r="C241">
        <v>2440</v>
      </c>
      <c r="D241">
        <v>2416.01001</v>
      </c>
      <c r="E241">
        <v>2421.2299800000001</v>
      </c>
      <c r="F241" s="127">
        <v>2421.2299800000001</v>
      </c>
      <c r="G241">
        <v>4568</v>
      </c>
    </row>
    <row r="242" spans="1:7" x14ac:dyDescent="0.3">
      <c r="A242" s="19">
        <v>44841</v>
      </c>
      <c r="B242">
        <v>2408.98999</v>
      </c>
      <c r="C242">
        <v>2409</v>
      </c>
      <c r="D242">
        <v>2285</v>
      </c>
      <c r="E242">
        <v>2295.9499510000001</v>
      </c>
      <c r="F242" s="127">
        <v>2295.9499510000001</v>
      </c>
      <c r="G242">
        <v>24651</v>
      </c>
    </row>
    <row r="243" spans="1:7" x14ac:dyDescent="0.3">
      <c r="A243" s="19">
        <v>44844</v>
      </c>
      <c r="B243">
        <v>2297</v>
      </c>
      <c r="C243">
        <v>2315</v>
      </c>
      <c r="D243">
        <v>2249.4499510000001</v>
      </c>
      <c r="E243">
        <v>2278.110107</v>
      </c>
      <c r="F243" s="127">
        <v>2278.110107</v>
      </c>
      <c r="G243">
        <v>3384</v>
      </c>
    </row>
    <row r="244" spans="1:7" x14ac:dyDescent="0.3">
      <c r="A244" s="19">
        <v>44845</v>
      </c>
      <c r="B244">
        <v>2274</v>
      </c>
      <c r="C244">
        <v>2297.1999510000001</v>
      </c>
      <c r="D244">
        <v>2210</v>
      </c>
      <c r="E244">
        <v>2258.209961</v>
      </c>
      <c r="F244" s="127">
        <v>2258.209961</v>
      </c>
      <c r="G244">
        <v>9876</v>
      </c>
    </row>
    <row r="245" spans="1:7" x14ac:dyDescent="0.3">
      <c r="A245" s="19">
        <v>44846</v>
      </c>
      <c r="B245">
        <v>2250</v>
      </c>
      <c r="C245">
        <v>2273.3500979999999</v>
      </c>
      <c r="D245">
        <v>2234.9499510000001</v>
      </c>
      <c r="E245">
        <v>2262.8100589999999</v>
      </c>
      <c r="F245" s="127">
        <v>2262.8100589999999</v>
      </c>
      <c r="G245">
        <v>5999</v>
      </c>
    </row>
    <row r="246" spans="1:7" x14ac:dyDescent="0.3">
      <c r="A246" s="19">
        <v>44847</v>
      </c>
      <c r="B246">
        <v>2183.9499510000001</v>
      </c>
      <c r="C246">
        <v>2256.8100589999999</v>
      </c>
      <c r="D246">
        <v>2136</v>
      </c>
      <c r="E246">
        <v>2252.3100589999999</v>
      </c>
      <c r="F246" s="127">
        <v>2252.3100589999999</v>
      </c>
      <c r="G246">
        <v>5742</v>
      </c>
    </row>
    <row r="247" spans="1:7" x14ac:dyDescent="0.3">
      <c r="A247" s="19">
        <v>44848</v>
      </c>
      <c r="B247">
        <v>2293.139893</v>
      </c>
      <c r="C247">
        <v>2293.139893</v>
      </c>
      <c r="D247">
        <v>2146.6499020000001</v>
      </c>
      <c r="E247">
        <v>2152.1298830000001</v>
      </c>
      <c r="F247" s="127">
        <v>2152.1298830000001</v>
      </c>
      <c r="G247">
        <v>7462</v>
      </c>
    </row>
    <row r="248" spans="1:7" x14ac:dyDescent="0.3">
      <c r="A248" s="19">
        <v>44851</v>
      </c>
      <c r="B248">
        <v>2190</v>
      </c>
      <c r="C248">
        <v>2283.98999</v>
      </c>
      <c r="D248">
        <v>2190</v>
      </c>
      <c r="E248">
        <v>2281.4499510000001</v>
      </c>
      <c r="F248" s="127">
        <v>2281.4499510000001</v>
      </c>
      <c r="G248">
        <v>4380</v>
      </c>
    </row>
    <row r="249" spans="1:7" x14ac:dyDescent="0.3">
      <c r="A249" s="19">
        <v>44852</v>
      </c>
      <c r="B249">
        <v>2350</v>
      </c>
      <c r="C249">
        <v>2380</v>
      </c>
      <c r="D249">
        <v>2305</v>
      </c>
      <c r="E249">
        <v>2324.1000979999999</v>
      </c>
      <c r="F249" s="127">
        <v>2324.1000979999999</v>
      </c>
      <c r="G249">
        <v>16034</v>
      </c>
    </row>
    <row r="250" spans="1:7" x14ac:dyDescent="0.3">
      <c r="A250" s="19">
        <v>44853</v>
      </c>
      <c r="B250">
        <v>2316.8500979999999</v>
      </c>
      <c r="C250">
        <v>2335</v>
      </c>
      <c r="D250">
        <v>2288.8701169999999</v>
      </c>
      <c r="E250">
        <v>2306.820068</v>
      </c>
      <c r="F250" s="127">
        <v>2306.820068</v>
      </c>
      <c r="G250">
        <v>5388</v>
      </c>
    </row>
    <row r="251" spans="1:7" x14ac:dyDescent="0.3">
      <c r="A251" s="19">
        <v>44854</v>
      </c>
      <c r="B251">
        <v>2293.98999</v>
      </c>
      <c r="C251">
        <v>2367</v>
      </c>
      <c r="D251">
        <v>2293.98999</v>
      </c>
      <c r="E251">
        <v>2315.1899410000001</v>
      </c>
      <c r="F251" s="127">
        <v>2315.1899410000001</v>
      </c>
      <c r="G251">
        <v>14316</v>
      </c>
    </row>
    <row r="252" spans="1:7" x14ac:dyDescent="0.3">
      <c r="A252" s="19">
        <v>44855</v>
      </c>
      <c r="B252">
        <v>2315.1899410000001</v>
      </c>
      <c r="C252">
        <v>2384.51001</v>
      </c>
      <c r="D252">
        <v>2310</v>
      </c>
      <c r="E252">
        <v>2377.1298830000001</v>
      </c>
      <c r="F252" s="127">
        <v>2377.1298830000001</v>
      </c>
      <c r="G252">
        <v>3892</v>
      </c>
    </row>
    <row r="253" spans="1:7" x14ac:dyDescent="0.3">
      <c r="A253" s="19">
        <v>44858</v>
      </c>
      <c r="B253">
        <v>2399</v>
      </c>
      <c r="C253">
        <v>2399</v>
      </c>
      <c r="D253">
        <v>2330.889893</v>
      </c>
      <c r="E253">
        <v>2389.1599120000001</v>
      </c>
      <c r="F253" s="127">
        <v>2389.1599120000001</v>
      </c>
      <c r="G253">
        <v>14844</v>
      </c>
    </row>
    <row r="254" spans="1:7" x14ac:dyDescent="0.3">
      <c r="A254" s="19">
        <v>44859</v>
      </c>
      <c r="B254">
        <v>2396.1000979999999</v>
      </c>
      <c r="C254">
        <v>2404.830078</v>
      </c>
      <c r="D254">
        <v>2370.3000489999999</v>
      </c>
      <c r="E254">
        <v>2399.429932</v>
      </c>
      <c r="F254" s="127">
        <v>2399.429932</v>
      </c>
      <c r="G254">
        <v>4142</v>
      </c>
    </row>
    <row r="255" spans="1:7" x14ac:dyDescent="0.3">
      <c r="A255" s="19">
        <v>44860</v>
      </c>
      <c r="B255">
        <v>2369.98999</v>
      </c>
      <c r="C255">
        <v>2369.98999</v>
      </c>
      <c r="D255">
        <v>2280</v>
      </c>
      <c r="E255">
        <v>2307.7700199999999</v>
      </c>
      <c r="F255" s="127">
        <v>2307.7700199999999</v>
      </c>
      <c r="G255">
        <v>15582</v>
      </c>
    </row>
    <row r="256" spans="1:7" x14ac:dyDescent="0.3">
      <c r="A256" s="19">
        <v>44861</v>
      </c>
      <c r="B256">
        <v>2280</v>
      </c>
      <c r="C256">
        <v>2280</v>
      </c>
      <c r="D256">
        <v>2175.3999020000001</v>
      </c>
      <c r="E256">
        <v>2201.889893</v>
      </c>
      <c r="F256" s="127">
        <v>2201.889893</v>
      </c>
      <c r="G256">
        <v>16359</v>
      </c>
    </row>
    <row r="257" spans="1:7" x14ac:dyDescent="0.3">
      <c r="A257" s="19">
        <v>44862</v>
      </c>
      <c r="B257">
        <v>1930</v>
      </c>
      <c r="C257">
        <v>2054.929932</v>
      </c>
      <c r="D257">
        <v>1930</v>
      </c>
      <c r="E257">
        <v>2043.0699460000001</v>
      </c>
      <c r="F257" s="127">
        <v>2043.0699460000001</v>
      </c>
      <c r="G257">
        <v>298738</v>
      </c>
    </row>
    <row r="258" spans="1:7" x14ac:dyDescent="0.3">
      <c r="A258" s="19">
        <v>44865</v>
      </c>
      <c r="B258">
        <v>2054.9099120000001</v>
      </c>
      <c r="C258">
        <v>2079.98999</v>
      </c>
      <c r="D258">
        <v>1999.5600589999999</v>
      </c>
      <c r="E258">
        <v>2026.9300539999999</v>
      </c>
      <c r="F258" s="127">
        <v>2026.9300539999999</v>
      </c>
      <c r="G258">
        <v>20665</v>
      </c>
    </row>
    <row r="259" spans="1:7" x14ac:dyDescent="0.3">
      <c r="A259" s="19">
        <v>44866</v>
      </c>
      <c r="B259">
        <v>2041.7700199999999</v>
      </c>
      <c r="C259">
        <v>2042.5</v>
      </c>
      <c r="D259">
        <v>1896</v>
      </c>
      <c r="E259">
        <v>1909.280029</v>
      </c>
      <c r="F259" s="127">
        <v>1909.280029</v>
      </c>
      <c r="G259">
        <v>51787</v>
      </c>
    </row>
    <row r="260" spans="1:7" x14ac:dyDescent="0.3">
      <c r="A260" s="19">
        <v>44868</v>
      </c>
      <c r="B260">
        <v>1900</v>
      </c>
      <c r="C260">
        <v>1900</v>
      </c>
      <c r="D260">
        <v>1755</v>
      </c>
      <c r="E260">
        <v>1763.880005</v>
      </c>
      <c r="F260" s="127">
        <v>1763.880005</v>
      </c>
      <c r="G260">
        <v>35660</v>
      </c>
    </row>
    <row r="261" spans="1:7" x14ac:dyDescent="0.3">
      <c r="A261" s="19">
        <v>44869</v>
      </c>
      <c r="B261">
        <v>1765.079956</v>
      </c>
      <c r="C261">
        <v>1797</v>
      </c>
      <c r="D261">
        <v>1724</v>
      </c>
      <c r="E261">
        <v>1773.829956</v>
      </c>
      <c r="F261" s="127">
        <v>1773.829956</v>
      </c>
      <c r="G261">
        <v>49987</v>
      </c>
    </row>
    <row r="262" spans="1:7" x14ac:dyDescent="0.3">
      <c r="A262" s="19">
        <v>44872</v>
      </c>
      <c r="B262">
        <v>1795</v>
      </c>
      <c r="C262">
        <v>1795</v>
      </c>
      <c r="D262">
        <v>1735.959961</v>
      </c>
      <c r="E262">
        <v>1761.6899410000001</v>
      </c>
      <c r="F262" s="127">
        <v>1761.6899410000001</v>
      </c>
      <c r="G262">
        <v>8572</v>
      </c>
    </row>
    <row r="263" spans="1:7" x14ac:dyDescent="0.3">
      <c r="A263" s="19">
        <v>44873</v>
      </c>
      <c r="B263">
        <v>1765</v>
      </c>
      <c r="C263">
        <v>1788.98999</v>
      </c>
      <c r="D263">
        <v>1730</v>
      </c>
      <c r="E263">
        <v>1770.040039</v>
      </c>
      <c r="F263" s="127">
        <v>1770.040039</v>
      </c>
      <c r="G263">
        <v>20161</v>
      </c>
    </row>
    <row r="264" spans="1:7" x14ac:dyDescent="0.3">
      <c r="A264" s="19">
        <v>44874</v>
      </c>
      <c r="B264">
        <v>1765</v>
      </c>
      <c r="C264">
        <v>1765</v>
      </c>
      <c r="D264">
        <v>1682</v>
      </c>
      <c r="E264">
        <v>1688.76001</v>
      </c>
      <c r="F264" s="127">
        <v>1688.76001</v>
      </c>
      <c r="G264">
        <v>45790</v>
      </c>
    </row>
    <row r="265" spans="1:7" x14ac:dyDescent="0.3">
      <c r="A265" s="19">
        <v>44875</v>
      </c>
      <c r="B265">
        <v>1750</v>
      </c>
      <c r="C265">
        <v>1898.869995</v>
      </c>
      <c r="D265">
        <v>1750</v>
      </c>
      <c r="E265">
        <v>1863.23999</v>
      </c>
      <c r="F265" s="127">
        <v>1863.23999</v>
      </c>
      <c r="G265">
        <v>94931</v>
      </c>
    </row>
    <row r="266" spans="1:7" x14ac:dyDescent="0.3">
      <c r="A266" s="19">
        <v>44876</v>
      </c>
      <c r="B266">
        <v>1880</v>
      </c>
      <c r="C266">
        <v>1971</v>
      </c>
      <c r="D266">
        <v>1880</v>
      </c>
      <c r="E266">
        <v>1964.1099850000001</v>
      </c>
      <c r="F266" s="127">
        <v>1964.1099850000001</v>
      </c>
      <c r="G266">
        <v>39876</v>
      </c>
    </row>
    <row r="267" spans="1:7" x14ac:dyDescent="0.3">
      <c r="A267" s="19">
        <v>44879</v>
      </c>
      <c r="B267">
        <v>1964.1099850000001</v>
      </c>
      <c r="C267">
        <v>1964.1099850000001</v>
      </c>
      <c r="D267">
        <v>1899</v>
      </c>
      <c r="E267">
        <v>1904.670044</v>
      </c>
      <c r="F267" s="127">
        <v>1904.670044</v>
      </c>
      <c r="G267">
        <v>33217</v>
      </c>
    </row>
    <row r="268" spans="1:7" x14ac:dyDescent="0.3">
      <c r="A268" s="19">
        <v>44880</v>
      </c>
      <c r="B268">
        <v>1960</v>
      </c>
      <c r="C268">
        <v>2005</v>
      </c>
      <c r="D268">
        <v>1900</v>
      </c>
      <c r="E268">
        <v>1915.630005</v>
      </c>
      <c r="F268" s="127">
        <v>1915.630005</v>
      </c>
      <c r="G268">
        <v>19254</v>
      </c>
    </row>
    <row r="269" spans="1:7" x14ac:dyDescent="0.3">
      <c r="A269" s="19">
        <v>44881</v>
      </c>
      <c r="B269">
        <v>1900</v>
      </c>
      <c r="C269">
        <v>1900.98999</v>
      </c>
      <c r="D269">
        <v>1850</v>
      </c>
      <c r="E269">
        <v>1884.030029</v>
      </c>
      <c r="F269" s="127">
        <v>1884.030029</v>
      </c>
      <c r="G269">
        <v>13603</v>
      </c>
    </row>
    <row r="270" spans="1:7" x14ac:dyDescent="0.3">
      <c r="A270" s="19">
        <v>44882</v>
      </c>
      <c r="B270">
        <v>1852</v>
      </c>
      <c r="C270">
        <v>1875</v>
      </c>
      <c r="D270">
        <v>1827.01001</v>
      </c>
      <c r="E270">
        <v>1838.6999510000001</v>
      </c>
      <c r="F270" s="127">
        <v>1838.6999510000001</v>
      </c>
      <c r="G270">
        <v>11661</v>
      </c>
    </row>
    <row r="271" spans="1:7" x14ac:dyDescent="0.3">
      <c r="A271" s="19">
        <v>44883</v>
      </c>
      <c r="B271">
        <v>1843.0699460000001</v>
      </c>
      <c r="C271">
        <v>1855.130005</v>
      </c>
      <c r="D271">
        <v>1805</v>
      </c>
      <c r="E271">
        <v>1831.0500489999999</v>
      </c>
      <c r="F271" s="127">
        <v>1831.0500489999999</v>
      </c>
      <c r="G271">
        <v>20697</v>
      </c>
    </row>
    <row r="272" spans="1:7" x14ac:dyDescent="0.3">
      <c r="A272" s="19">
        <v>44887</v>
      </c>
      <c r="B272">
        <v>1831.0500489999999</v>
      </c>
      <c r="C272">
        <v>1831.0500489999999</v>
      </c>
      <c r="D272">
        <v>1779.099976</v>
      </c>
      <c r="E272">
        <v>1807</v>
      </c>
      <c r="F272" s="127">
        <v>1807</v>
      </c>
      <c r="G272">
        <v>9343</v>
      </c>
    </row>
    <row r="273" spans="1:7" x14ac:dyDescent="0.3">
      <c r="A273" s="19">
        <v>44888</v>
      </c>
      <c r="B273">
        <v>1810</v>
      </c>
      <c r="C273">
        <v>1830</v>
      </c>
      <c r="D273">
        <v>1797.9799800000001</v>
      </c>
      <c r="E273">
        <v>1822.410034</v>
      </c>
      <c r="F273" s="127">
        <v>1822.410034</v>
      </c>
      <c r="G273">
        <v>19147</v>
      </c>
    </row>
    <row r="274" spans="1:7" x14ac:dyDescent="0.3">
      <c r="A274" s="19">
        <v>44889</v>
      </c>
      <c r="B274">
        <v>1830</v>
      </c>
      <c r="C274">
        <v>1860</v>
      </c>
      <c r="D274">
        <v>1830</v>
      </c>
      <c r="E274">
        <v>1857.660034</v>
      </c>
      <c r="F274" s="127">
        <v>1857.660034</v>
      </c>
      <c r="G274">
        <v>446</v>
      </c>
    </row>
    <row r="275" spans="1:7" x14ac:dyDescent="0.3">
      <c r="A275" s="19">
        <v>44890</v>
      </c>
      <c r="B275">
        <v>1855.920044</v>
      </c>
      <c r="C275">
        <v>1855.920044</v>
      </c>
      <c r="D275">
        <v>1801</v>
      </c>
      <c r="E275">
        <v>1809.4300539999999</v>
      </c>
      <c r="F275" s="127">
        <v>1809.4300539999999</v>
      </c>
      <c r="G275">
        <v>4180</v>
      </c>
    </row>
    <row r="276" spans="1:7" x14ac:dyDescent="0.3">
      <c r="A276" s="19">
        <v>44893</v>
      </c>
      <c r="B276">
        <v>1810.01001</v>
      </c>
      <c r="C276">
        <v>1856</v>
      </c>
      <c r="D276">
        <v>1804.589966</v>
      </c>
      <c r="E276">
        <v>1808.410034</v>
      </c>
      <c r="F276" s="127">
        <v>1808.410034</v>
      </c>
      <c r="G276">
        <v>14083</v>
      </c>
    </row>
    <row r="277" spans="1:7" x14ac:dyDescent="0.3">
      <c r="A277" s="19">
        <v>44894</v>
      </c>
      <c r="B277">
        <v>1800</v>
      </c>
      <c r="C277">
        <v>1802.040039</v>
      </c>
      <c r="D277">
        <v>1765</v>
      </c>
      <c r="E277">
        <v>1778.5500489999999</v>
      </c>
      <c r="F277" s="127">
        <v>1778.5500489999999</v>
      </c>
      <c r="G277">
        <v>16224</v>
      </c>
    </row>
    <row r="278" spans="1:7" x14ac:dyDescent="0.3">
      <c r="A278" s="19">
        <v>44895</v>
      </c>
      <c r="B278">
        <v>1783.5</v>
      </c>
      <c r="C278">
        <v>1857.8900149999999</v>
      </c>
      <c r="D278">
        <v>1775</v>
      </c>
      <c r="E278">
        <v>1848.98999</v>
      </c>
      <c r="F278" s="127">
        <v>1848.98999</v>
      </c>
      <c r="G278">
        <v>17312</v>
      </c>
    </row>
    <row r="279" spans="1:7" x14ac:dyDescent="0.3">
      <c r="A279" s="19">
        <v>44896</v>
      </c>
      <c r="B279">
        <v>1858.2299800000001</v>
      </c>
      <c r="C279">
        <v>1862.01001</v>
      </c>
      <c r="D279">
        <v>1823.75</v>
      </c>
      <c r="E279">
        <v>1829.709961</v>
      </c>
      <c r="F279" s="127">
        <v>1829.709961</v>
      </c>
      <c r="G279">
        <v>19339</v>
      </c>
    </row>
    <row r="280" spans="1:7" x14ac:dyDescent="0.3">
      <c r="A280" s="19">
        <v>44897</v>
      </c>
      <c r="B280">
        <v>1819</v>
      </c>
      <c r="C280">
        <v>1840.4300539999999</v>
      </c>
      <c r="D280">
        <v>1809.9499510000001</v>
      </c>
      <c r="E280">
        <v>1822.709961</v>
      </c>
      <c r="F280" s="127">
        <v>1822.709961</v>
      </c>
      <c r="G280">
        <v>19665</v>
      </c>
    </row>
    <row r="281" spans="1:7" x14ac:dyDescent="0.3">
      <c r="A281" s="19">
        <v>44900</v>
      </c>
      <c r="B281">
        <v>1831.6899410000001</v>
      </c>
      <c r="C281">
        <v>1843.630005</v>
      </c>
      <c r="D281">
        <v>1790.8100589999999</v>
      </c>
      <c r="E281">
        <v>1794.8199460000001</v>
      </c>
      <c r="F281" s="127">
        <v>1794.8199460000001</v>
      </c>
      <c r="G281">
        <v>8815</v>
      </c>
    </row>
    <row r="282" spans="1:7" x14ac:dyDescent="0.3">
      <c r="A282" s="19">
        <v>44901</v>
      </c>
      <c r="B282">
        <v>1792.9499510000001</v>
      </c>
      <c r="C282">
        <v>1792.9499510000001</v>
      </c>
      <c r="D282">
        <v>1741</v>
      </c>
      <c r="E282">
        <v>1748.920044</v>
      </c>
      <c r="F282" s="127">
        <v>1748.920044</v>
      </c>
      <c r="G282">
        <v>39674</v>
      </c>
    </row>
    <row r="283" spans="1:7" x14ac:dyDescent="0.3">
      <c r="A283" s="19">
        <v>44902</v>
      </c>
      <c r="B283">
        <v>1749</v>
      </c>
      <c r="C283">
        <v>1755</v>
      </c>
      <c r="D283">
        <v>1723.0200199999999</v>
      </c>
      <c r="E283">
        <v>1738.790039</v>
      </c>
      <c r="F283" s="127">
        <v>1738.790039</v>
      </c>
      <c r="G283">
        <v>11366</v>
      </c>
    </row>
    <row r="284" spans="1:7" x14ac:dyDescent="0.3">
      <c r="A284" s="19">
        <v>44903</v>
      </c>
      <c r="B284">
        <v>1745.01001</v>
      </c>
      <c r="C284">
        <v>1789.130005</v>
      </c>
      <c r="D284">
        <v>1736</v>
      </c>
      <c r="E284">
        <v>1773.780029</v>
      </c>
      <c r="F284" s="127">
        <v>1773.780029</v>
      </c>
      <c r="G284">
        <v>15513</v>
      </c>
    </row>
    <row r="285" spans="1:7" x14ac:dyDescent="0.3">
      <c r="A285" s="19">
        <v>44904</v>
      </c>
      <c r="B285">
        <v>1768.589966</v>
      </c>
      <c r="C285">
        <v>1777.8599850000001</v>
      </c>
      <c r="D285">
        <v>1754.98999</v>
      </c>
      <c r="E285">
        <v>1765.0500489999999</v>
      </c>
      <c r="F285" s="127">
        <v>1765.0500489999999</v>
      </c>
      <c r="G285">
        <v>16780</v>
      </c>
    </row>
    <row r="286" spans="1:7" x14ac:dyDescent="0.3">
      <c r="A286" s="19">
        <v>44908</v>
      </c>
      <c r="B286">
        <v>1867</v>
      </c>
      <c r="C286">
        <v>1876.150024</v>
      </c>
      <c r="D286">
        <v>1783.7299800000001</v>
      </c>
      <c r="E286">
        <v>1811.650024</v>
      </c>
      <c r="F286" s="127">
        <v>1811.650024</v>
      </c>
      <c r="G286">
        <v>28355</v>
      </c>
    </row>
    <row r="287" spans="1:7" x14ac:dyDescent="0.3">
      <c r="A287" s="19">
        <v>44909</v>
      </c>
      <c r="B287">
        <v>1815.98999</v>
      </c>
      <c r="C287">
        <v>1837.3199460000001</v>
      </c>
      <c r="D287">
        <v>1784.6099850000001</v>
      </c>
      <c r="E287">
        <v>1802.599976</v>
      </c>
      <c r="F287" s="127">
        <v>1802.599976</v>
      </c>
      <c r="G287">
        <v>18022</v>
      </c>
    </row>
    <row r="288" spans="1:7" x14ac:dyDescent="0.3">
      <c r="A288" s="19">
        <v>44910</v>
      </c>
      <c r="B288">
        <v>1793.579956</v>
      </c>
      <c r="C288">
        <v>1793.579956</v>
      </c>
      <c r="D288">
        <v>1730.910034</v>
      </c>
      <c r="E288">
        <v>1741.3599850000001</v>
      </c>
      <c r="F288" s="127">
        <v>1741.3599850000001</v>
      </c>
      <c r="G288">
        <v>11107</v>
      </c>
    </row>
    <row r="289" spans="1:7" x14ac:dyDescent="0.3">
      <c r="A289" s="19">
        <v>44911</v>
      </c>
      <c r="B289">
        <v>1762.51001</v>
      </c>
      <c r="C289">
        <v>1762.51001</v>
      </c>
      <c r="D289">
        <v>1720</v>
      </c>
      <c r="E289">
        <v>1738.619995</v>
      </c>
      <c r="F289" s="127">
        <v>1738.619995</v>
      </c>
      <c r="G289">
        <v>22913</v>
      </c>
    </row>
    <row r="290" spans="1:7" x14ac:dyDescent="0.3">
      <c r="A290" s="19">
        <v>44914</v>
      </c>
      <c r="B290">
        <v>1747.3100589999999</v>
      </c>
      <c r="C290">
        <v>1747.3100589999999</v>
      </c>
      <c r="D290">
        <v>1670.630005</v>
      </c>
      <c r="E290">
        <v>1681.4300539999999</v>
      </c>
      <c r="F290" s="127">
        <v>1681.4300539999999</v>
      </c>
      <c r="G290">
        <v>58702</v>
      </c>
    </row>
    <row r="291" spans="1:7" x14ac:dyDescent="0.3">
      <c r="A291" s="19">
        <v>44915</v>
      </c>
      <c r="B291">
        <v>1700</v>
      </c>
      <c r="C291">
        <v>1706.3900149999999</v>
      </c>
      <c r="D291">
        <v>1665</v>
      </c>
      <c r="E291">
        <v>1684.349976</v>
      </c>
      <c r="F291" s="127">
        <v>1684.349976</v>
      </c>
      <c r="G291">
        <v>12180</v>
      </c>
    </row>
    <row r="292" spans="1:7" x14ac:dyDescent="0.3">
      <c r="A292" s="19">
        <v>44916</v>
      </c>
      <c r="B292">
        <v>1689.849976</v>
      </c>
      <c r="C292">
        <v>1713.4799800000001</v>
      </c>
      <c r="D292">
        <v>1684</v>
      </c>
      <c r="E292">
        <v>1704.75</v>
      </c>
      <c r="F292" s="127">
        <v>1704.75</v>
      </c>
      <c r="G292">
        <v>25362</v>
      </c>
    </row>
    <row r="293" spans="1:7" x14ac:dyDescent="0.3">
      <c r="A293" s="19">
        <v>44917</v>
      </c>
      <c r="B293">
        <v>1689.98999</v>
      </c>
      <c r="C293">
        <v>1689.98999</v>
      </c>
      <c r="D293">
        <v>1612</v>
      </c>
      <c r="E293">
        <v>1633.48999</v>
      </c>
      <c r="F293" s="127">
        <v>1633.48999</v>
      </c>
      <c r="G293">
        <v>47018</v>
      </c>
    </row>
    <row r="294" spans="1:7" x14ac:dyDescent="0.3">
      <c r="A294" s="19">
        <v>44918</v>
      </c>
      <c r="B294">
        <v>1648</v>
      </c>
      <c r="C294">
        <v>1656.099976</v>
      </c>
      <c r="D294">
        <v>1615</v>
      </c>
      <c r="E294">
        <v>1650.369995</v>
      </c>
      <c r="F294" s="127">
        <v>1650.369995</v>
      </c>
      <c r="G294">
        <v>40848</v>
      </c>
    </row>
    <row r="295" spans="1:7" x14ac:dyDescent="0.3">
      <c r="A295" s="19">
        <v>44921</v>
      </c>
      <c r="B295">
        <v>1664.5699460000001</v>
      </c>
      <c r="C295">
        <v>1712.98999</v>
      </c>
      <c r="D295">
        <v>1664.5699460000001</v>
      </c>
      <c r="E295">
        <v>1664.5699460000001</v>
      </c>
      <c r="F295" s="127">
        <v>1664.5699460000001</v>
      </c>
      <c r="G295">
        <v>217</v>
      </c>
    </row>
    <row r="296" spans="1:7" x14ac:dyDescent="0.3">
      <c r="A296" s="19">
        <v>44922</v>
      </c>
      <c r="B296">
        <v>1671.530029</v>
      </c>
      <c r="C296">
        <v>1671.530029</v>
      </c>
      <c r="D296">
        <v>1618.73999</v>
      </c>
      <c r="E296">
        <v>1622.089966</v>
      </c>
      <c r="F296" s="127">
        <v>1622.089966</v>
      </c>
      <c r="G296">
        <v>26497</v>
      </c>
    </row>
    <row r="297" spans="1:7" x14ac:dyDescent="0.3">
      <c r="A297" s="19">
        <v>44923</v>
      </c>
      <c r="B297">
        <v>1601.01001</v>
      </c>
      <c r="C297">
        <v>1617.670044</v>
      </c>
      <c r="D297">
        <v>1585.5500489999999</v>
      </c>
      <c r="E297">
        <v>1592.670044</v>
      </c>
      <c r="F297" s="127">
        <v>1592.670044</v>
      </c>
      <c r="G297">
        <v>65812</v>
      </c>
    </row>
    <row r="298" spans="1:7" x14ac:dyDescent="0.3">
      <c r="A298" s="19">
        <v>44924</v>
      </c>
      <c r="B298">
        <v>1591.170044</v>
      </c>
      <c r="C298">
        <v>1645</v>
      </c>
      <c r="D298">
        <v>1591.170044</v>
      </c>
      <c r="E298">
        <v>1641</v>
      </c>
      <c r="F298" s="127">
        <v>1641</v>
      </c>
      <c r="G298">
        <v>92167</v>
      </c>
    </row>
    <row r="299" spans="1:7" x14ac:dyDescent="0.3">
      <c r="A299" s="19">
        <v>44925</v>
      </c>
      <c r="B299">
        <v>1611.5</v>
      </c>
      <c r="C299">
        <v>1640.98999</v>
      </c>
      <c r="D299">
        <v>1605.9499510000001</v>
      </c>
      <c r="E299">
        <v>1634.3000489999999</v>
      </c>
      <c r="F299" s="127">
        <v>1634.3000489999999</v>
      </c>
      <c r="G299">
        <v>5290</v>
      </c>
    </row>
    <row r="300" spans="1:7" x14ac:dyDescent="0.3">
      <c r="A300" s="19">
        <v>44928</v>
      </c>
      <c r="B300">
        <v>1645</v>
      </c>
      <c r="C300">
        <v>1665</v>
      </c>
      <c r="D300">
        <v>1645</v>
      </c>
      <c r="E300">
        <v>1659.5</v>
      </c>
      <c r="F300" s="127">
        <v>1659.5</v>
      </c>
      <c r="G300">
        <v>497</v>
      </c>
    </row>
    <row r="301" spans="1:7" x14ac:dyDescent="0.3">
      <c r="A301" s="19">
        <v>44929</v>
      </c>
      <c r="B301">
        <v>1665</v>
      </c>
      <c r="C301">
        <v>1682.01001</v>
      </c>
      <c r="D301">
        <v>1635.01001</v>
      </c>
      <c r="E301">
        <v>1668.650024</v>
      </c>
      <c r="F301" s="127">
        <v>1668.650024</v>
      </c>
      <c r="G301">
        <v>13141</v>
      </c>
    </row>
    <row r="302" spans="1:7" x14ac:dyDescent="0.3">
      <c r="A302" s="19">
        <v>44930</v>
      </c>
      <c r="B302">
        <v>1660</v>
      </c>
      <c r="C302">
        <v>1670</v>
      </c>
      <c r="D302">
        <v>1623.089966</v>
      </c>
      <c r="E302">
        <v>1642.589966</v>
      </c>
      <c r="F302" s="127">
        <v>1642.589966</v>
      </c>
      <c r="G302">
        <v>18366</v>
      </c>
    </row>
    <row r="303" spans="1:7" x14ac:dyDescent="0.3">
      <c r="A303" s="19">
        <v>44931</v>
      </c>
      <c r="B303">
        <v>1660</v>
      </c>
      <c r="C303">
        <v>1660</v>
      </c>
      <c r="D303">
        <v>1608.660034</v>
      </c>
      <c r="E303">
        <v>1612.040039</v>
      </c>
      <c r="F303" s="127">
        <v>1612.040039</v>
      </c>
      <c r="G303">
        <v>5013</v>
      </c>
    </row>
    <row r="304" spans="1:7" x14ac:dyDescent="0.3">
      <c r="A304" s="19">
        <v>44932</v>
      </c>
      <c r="B304">
        <v>1615</v>
      </c>
      <c r="C304">
        <v>1655</v>
      </c>
      <c r="D304">
        <v>1568</v>
      </c>
      <c r="E304">
        <v>1649.119995</v>
      </c>
      <c r="F304" s="127">
        <v>1649.119995</v>
      </c>
      <c r="G304">
        <v>5225</v>
      </c>
    </row>
    <row r="305" spans="1:7" x14ac:dyDescent="0.3">
      <c r="A305" s="19">
        <v>44935</v>
      </c>
      <c r="B305">
        <v>1690</v>
      </c>
      <c r="C305">
        <v>1715</v>
      </c>
      <c r="D305">
        <v>1668.5</v>
      </c>
      <c r="E305">
        <v>1673.7700199999999</v>
      </c>
      <c r="F305" s="127">
        <v>1673.7700199999999</v>
      </c>
      <c r="G305">
        <v>35719</v>
      </c>
    </row>
    <row r="306" spans="1:7" x14ac:dyDescent="0.3">
      <c r="A306" s="19">
        <v>44936</v>
      </c>
      <c r="B306">
        <v>1690</v>
      </c>
      <c r="C306">
        <v>1720</v>
      </c>
      <c r="D306">
        <v>1680</v>
      </c>
      <c r="E306">
        <v>1710.9300539999999</v>
      </c>
      <c r="F306" s="127">
        <v>1710.9300539999999</v>
      </c>
      <c r="G306">
        <v>11903</v>
      </c>
    </row>
    <row r="307" spans="1:7" x14ac:dyDescent="0.3">
      <c r="A307" s="19">
        <v>44937</v>
      </c>
      <c r="B307">
        <v>1730</v>
      </c>
      <c r="C307">
        <v>1803.0200199999999</v>
      </c>
      <c r="D307">
        <v>1730</v>
      </c>
      <c r="E307">
        <v>1798.3599850000001</v>
      </c>
      <c r="F307" s="127">
        <v>1798.3599850000001</v>
      </c>
      <c r="G307">
        <v>23867</v>
      </c>
    </row>
    <row r="308" spans="1:7" x14ac:dyDescent="0.3">
      <c r="A308" s="19">
        <v>44938</v>
      </c>
      <c r="B308">
        <v>1800</v>
      </c>
      <c r="C308">
        <v>1830</v>
      </c>
      <c r="D308">
        <v>1772.2700199999999</v>
      </c>
      <c r="E308">
        <v>1791.880005</v>
      </c>
      <c r="F308" s="127">
        <v>1791.880005</v>
      </c>
      <c r="G308">
        <v>65812</v>
      </c>
    </row>
    <row r="309" spans="1:7" x14ac:dyDescent="0.3">
      <c r="A309" s="19">
        <v>44939</v>
      </c>
      <c r="B309">
        <v>1791</v>
      </c>
      <c r="C309">
        <v>1845</v>
      </c>
      <c r="D309">
        <v>1780</v>
      </c>
      <c r="E309">
        <v>1840.6999510000001</v>
      </c>
      <c r="F309" s="127">
        <v>1840.6999510000001</v>
      </c>
      <c r="G309">
        <v>34445</v>
      </c>
    </row>
    <row r="310" spans="1:7" x14ac:dyDescent="0.3">
      <c r="A310" s="19">
        <v>44942</v>
      </c>
      <c r="B310">
        <v>1846.969971</v>
      </c>
      <c r="C310">
        <v>1871</v>
      </c>
      <c r="D310">
        <v>1846.969971</v>
      </c>
      <c r="E310">
        <v>1871</v>
      </c>
      <c r="F310" s="127">
        <v>1871</v>
      </c>
      <c r="G310">
        <v>588</v>
      </c>
    </row>
    <row r="311" spans="1:7" x14ac:dyDescent="0.3">
      <c r="A311" s="19">
        <v>44943</v>
      </c>
      <c r="B311">
        <v>1867</v>
      </c>
      <c r="C311">
        <v>1867</v>
      </c>
      <c r="D311">
        <v>1791.849976</v>
      </c>
      <c r="E311">
        <v>1792.900024</v>
      </c>
      <c r="F311" s="127">
        <v>1792.900024</v>
      </c>
      <c r="G311">
        <v>29652</v>
      </c>
    </row>
    <row r="312" spans="1:7" x14ac:dyDescent="0.3">
      <c r="A312" s="19">
        <v>44944</v>
      </c>
      <c r="B312">
        <v>1814.4399410000001</v>
      </c>
      <c r="C312">
        <v>1850</v>
      </c>
      <c r="D312">
        <v>1796.339966</v>
      </c>
      <c r="E312">
        <v>1808.1400149999999</v>
      </c>
      <c r="F312" s="127">
        <v>1808.1400149999999</v>
      </c>
      <c r="G312">
        <v>26526</v>
      </c>
    </row>
    <row r="313" spans="1:7" x14ac:dyDescent="0.3">
      <c r="A313" s="19">
        <v>44945</v>
      </c>
      <c r="B313">
        <v>1798.75</v>
      </c>
      <c r="C313">
        <v>1804.98999</v>
      </c>
      <c r="D313">
        <v>1767.01001</v>
      </c>
      <c r="E313">
        <v>1778.7299800000001</v>
      </c>
      <c r="F313" s="127">
        <v>1778.7299800000001</v>
      </c>
      <c r="G313">
        <v>8224</v>
      </c>
    </row>
    <row r="314" spans="1:7" x14ac:dyDescent="0.3">
      <c r="A314" s="19">
        <v>44946</v>
      </c>
      <c r="B314">
        <v>1787.619995</v>
      </c>
      <c r="C314">
        <v>1839.9300539999999</v>
      </c>
      <c r="D314">
        <v>1770.349976</v>
      </c>
      <c r="E314">
        <v>1832.530029</v>
      </c>
      <c r="F314" s="127">
        <v>1832.530029</v>
      </c>
      <c r="G314">
        <v>9392</v>
      </c>
    </row>
    <row r="315" spans="1:7" x14ac:dyDescent="0.3">
      <c r="A315" s="19">
        <v>44949</v>
      </c>
      <c r="B315">
        <v>1837</v>
      </c>
      <c r="C315">
        <v>1839.6400149999999</v>
      </c>
      <c r="D315">
        <v>1810.01001</v>
      </c>
      <c r="E315">
        <v>1831.630005</v>
      </c>
      <c r="F315" s="127">
        <v>1831.630005</v>
      </c>
      <c r="G315">
        <v>27612</v>
      </c>
    </row>
    <row r="316" spans="1:7" x14ac:dyDescent="0.3">
      <c r="A316" s="19">
        <v>44950</v>
      </c>
      <c r="B316">
        <v>1837.9799800000001</v>
      </c>
      <c r="C316">
        <v>1849.98999</v>
      </c>
      <c r="D316">
        <v>1807.709961</v>
      </c>
      <c r="E316">
        <v>1812.0200199999999</v>
      </c>
      <c r="F316" s="127">
        <v>1812.0200199999999</v>
      </c>
      <c r="G316">
        <v>8760</v>
      </c>
    </row>
    <row r="317" spans="1:7" x14ac:dyDescent="0.3">
      <c r="A317" s="19">
        <v>44951</v>
      </c>
      <c r="B317">
        <v>1798.98999</v>
      </c>
      <c r="C317">
        <v>1824</v>
      </c>
      <c r="D317">
        <v>1720.5200199999999</v>
      </c>
      <c r="E317">
        <v>1819.880005</v>
      </c>
      <c r="F317" s="127">
        <v>1819.880005</v>
      </c>
      <c r="G317">
        <v>9145</v>
      </c>
    </row>
    <row r="318" spans="1:7" x14ac:dyDescent="0.3">
      <c r="A318" s="19">
        <v>44952</v>
      </c>
      <c r="B318">
        <v>1852</v>
      </c>
      <c r="C318">
        <v>1870.98999</v>
      </c>
      <c r="D318">
        <v>1829.6999510000001</v>
      </c>
      <c r="E318">
        <v>1860.1800539999999</v>
      </c>
      <c r="F318" s="127">
        <v>1860.1800539999999</v>
      </c>
      <c r="G318">
        <v>15229</v>
      </c>
    </row>
    <row r="319" spans="1:7" x14ac:dyDescent="0.3">
      <c r="A319" s="19">
        <v>44953</v>
      </c>
      <c r="B319">
        <v>1875</v>
      </c>
      <c r="C319">
        <v>1938.099976</v>
      </c>
      <c r="D319">
        <v>1875</v>
      </c>
      <c r="E319">
        <v>1923.849976</v>
      </c>
      <c r="F319" s="127">
        <v>1923.849976</v>
      </c>
      <c r="G319">
        <v>57447</v>
      </c>
    </row>
    <row r="320" spans="1:7" x14ac:dyDescent="0.3">
      <c r="A320" s="19">
        <v>44956</v>
      </c>
      <c r="B320">
        <v>1895</v>
      </c>
      <c r="C320">
        <v>1908.26001</v>
      </c>
      <c r="D320">
        <v>1860</v>
      </c>
      <c r="E320">
        <v>1888.530029</v>
      </c>
      <c r="F320" s="127">
        <v>1888.530029</v>
      </c>
      <c r="G320">
        <v>14246</v>
      </c>
    </row>
    <row r="321" spans="1:7" x14ac:dyDescent="0.3">
      <c r="A321" s="19">
        <v>44957</v>
      </c>
      <c r="B321">
        <v>1903</v>
      </c>
      <c r="C321">
        <v>1941.0500489999999</v>
      </c>
      <c r="D321">
        <v>1902.880005</v>
      </c>
      <c r="E321">
        <v>1935.880005</v>
      </c>
      <c r="F321" s="127">
        <v>1935.880005</v>
      </c>
      <c r="G321">
        <v>20847</v>
      </c>
    </row>
    <row r="322" spans="1:7" x14ac:dyDescent="0.3">
      <c r="A322" s="19">
        <v>44958</v>
      </c>
      <c r="B322">
        <v>1938</v>
      </c>
      <c r="C322">
        <v>1977</v>
      </c>
      <c r="D322">
        <v>1900</v>
      </c>
      <c r="E322">
        <v>1963.030029</v>
      </c>
      <c r="F322" s="127">
        <v>1963.030029</v>
      </c>
      <c r="G322">
        <v>21130</v>
      </c>
    </row>
    <row r="323" spans="1:7" x14ac:dyDescent="0.3">
      <c r="A323" s="19">
        <v>44959</v>
      </c>
      <c r="B323">
        <v>2010</v>
      </c>
      <c r="C323">
        <v>2128.8400879999999</v>
      </c>
      <c r="D323">
        <v>2010</v>
      </c>
      <c r="E323">
        <v>2091.320068</v>
      </c>
      <c r="F323" s="127">
        <v>2091.320068</v>
      </c>
      <c r="G323">
        <v>57169</v>
      </c>
    </row>
    <row r="324" spans="1:7" x14ac:dyDescent="0.3">
      <c r="A324" s="19">
        <v>44960</v>
      </c>
      <c r="B324">
        <v>1989.599976</v>
      </c>
      <c r="C324">
        <v>2049.919922</v>
      </c>
      <c r="D324">
        <v>1945</v>
      </c>
      <c r="E324">
        <v>1951.910034</v>
      </c>
      <c r="F324" s="127">
        <v>1951.910034</v>
      </c>
      <c r="G324">
        <v>45503</v>
      </c>
    </row>
    <row r="325" spans="1:7" x14ac:dyDescent="0.3">
      <c r="A325" s="19">
        <v>44964</v>
      </c>
      <c r="B325">
        <v>1952</v>
      </c>
      <c r="C325">
        <v>1952</v>
      </c>
      <c r="D325">
        <v>1867.8000489999999</v>
      </c>
      <c r="E325">
        <v>1928.969971</v>
      </c>
      <c r="F325" s="127">
        <v>1928.969971</v>
      </c>
      <c r="G325">
        <v>49502</v>
      </c>
    </row>
    <row r="326" spans="1:7" x14ac:dyDescent="0.3">
      <c r="A326" s="19">
        <v>44965</v>
      </c>
      <c r="B326">
        <v>1929</v>
      </c>
      <c r="C326">
        <v>1929.969971</v>
      </c>
      <c r="D326">
        <v>1877.869995</v>
      </c>
      <c r="E326">
        <v>1896.829956</v>
      </c>
      <c r="F326" s="127">
        <v>1896.829956</v>
      </c>
      <c r="G326">
        <v>12011</v>
      </c>
    </row>
    <row r="327" spans="1:7" x14ac:dyDescent="0.3">
      <c r="A327" s="19">
        <v>44966</v>
      </c>
      <c r="B327">
        <v>1948</v>
      </c>
      <c r="C327">
        <v>1948</v>
      </c>
      <c r="D327">
        <v>1834.4399410000001</v>
      </c>
      <c r="E327">
        <v>1842.599976</v>
      </c>
      <c r="F327" s="127">
        <v>1842.599976</v>
      </c>
      <c r="G327">
        <v>65224</v>
      </c>
    </row>
    <row r="328" spans="1:7" x14ac:dyDescent="0.3">
      <c r="A328" s="19">
        <v>44967</v>
      </c>
      <c r="B328">
        <v>1843</v>
      </c>
      <c r="C328">
        <v>1844.9799800000001</v>
      </c>
      <c r="D328">
        <v>1795.01001</v>
      </c>
      <c r="E328">
        <v>1822.5500489999999</v>
      </c>
      <c r="F328" s="127">
        <v>1822.5500489999999</v>
      </c>
      <c r="G328">
        <v>65680</v>
      </c>
    </row>
    <row r="329" spans="1:7" x14ac:dyDescent="0.3">
      <c r="A329" s="19">
        <v>44970</v>
      </c>
      <c r="B329">
        <v>1823</v>
      </c>
      <c r="C329">
        <v>1850</v>
      </c>
      <c r="D329">
        <v>1822.540039</v>
      </c>
      <c r="E329">
        <v>1842.7700199999999</v>
      </c>
      <c r="F329" s="127">
        <v>1842.7700199999999</v>
      </c>
      <c r="G329">
        <v>10066</v>
      </c>
    </row>
    <row r="330" spans="1:7" x14ac:dyDescent="0.3">
      <c r="A330" s="19">
        <v>44971</v>
      </c>
      <c r="B330">
        <v>1845</v>
      </c>
      <c r="C330">
        <v>1865.4300539999999</v>
      </c>
      <c r="D330">
        <v>1811.849976</v>
      </c>
      <c r="E330">
        <v>1841.920044</v>
      </c>
      <c r="F330" s="127">
        <v>1841.920044</v>
      </c>
      <c r="G330">
        <v>26515</v>
      </c>
    </row>
    <row r="331" spans="1:7" x14ac:dyDescent="0.3">
      <c r="A331" s="19">
        <v>44972</v>
      </c>
      <c r="B331">
        <v>1852</v>
      </c>
      <c r="C331">
        <v>1876.849976</v>
      </c>
      <c r="D331">
        <v>1841.1899410000001</v>
      </c>
      <c r="E331">
        <v>1875.349976</v>
      </c>
      <c r="F331" s="127">
        <v>1875.349976</v>
      </c>
      <c r="G331">
        <v>13489</v>
      </c>
    </row>
    <row r="332" spans="1:7" x14ac:dyDescent="0.3">
      <c r="A332" s="19">
        <v>44973</v>
      </c>
      <c r="B332">
        <v>1869.9499510000001</v>
      </c>
      <c r="C332">
        <v>1869.9499510000001</v>
      </c>
      <c r="D332">
        <v>1819</v>
      </c>
      <c r="E332">
        <v>1825.790039</v>
      </c>
      <c r="F332" s="127">
        <v>1825.790039</v>
      </c>
      <c r="G332">
        <v>11596</v>
      </c>
    </row>
    <row r="333" spans="1:7" x14ac:dyDescent="0.3">
      <c r="A333" s="19">
        <v>44974</v>
      </c>
      <c r="B333">
        <v>1825.790039</v>
      </c>
      <c r="C333">
        <v>1825.790039</v>
      </c>
      <c r="D333">
        <v>1758.420044</v>
      </c>
      <c r="E333">
        <v>1783.0500489999999</v>
      </c>
      <c r="F333" s="127">
        <v>1783.0500489999999</v>
      </c>
      <c r="G333">
        <v>15932</v>
      </c>
    </row>
    <row r="334" spans="1:7" x14ac:dyDescent="0.3">
      <c r="A334" s="19">
        <v>44977</v>
      </c>
      <c r="B334">
        <v>1800</v>
      </c>
      <c r="C334">
        <v>1809</v>
      </c>
      <c r="D334">
        <v>1785.3199460000001</v>
      </c>
      <c r="E334">
        <v>1785.5</v>
      </c>
      <c r="F334" s="127">
        <v>1785.5</v>
      </c>
      <c r="G334">
        <v>606</v>
      </c>
    </row>
    <row r="335" spans="1:7" x14ac:dyDescent="0.3">
      <c r="A335" s="19">
        <v>44978</v>
      </c>
      <c r="B335">
        <v>1784.6899410000001</v>
      </c>
      <c r="C335">
        <v>1784.6899410000001</v>
      </c>
      <c r="D335">
        <v>1735</v>
      </c>
      <c r="E335">
        <v>1747.48999</v>
      </c>
      <c r="F335" s="127">
        <v>1747.48999</v>
      </c>
      <c r="G335">
        <v>35200</v>
      </c>
    </row>
    <row r="336" spans="1:7" x14ac:dyDescent="0.3">
      <c r="A336" s="19">
        <v>44979</v>
      </c>
      <c r="B336">
        <v>1748</v>
      </c>
      <c r="C336">
        <v>1799.9799800000001</v>
      </c>
      <c r="D336">
        <v>1747.040039</v>
      </c>
      <c r="E336">
        <v>1755.6099850000001</v>
      </c>
      <c r="F336" s="127">
        <v>1755.6099850000001</v>
      </c>
      <c r="G336">
        <v>9024</v>
      </c>
    </row>
    <row r="337" spans="1:7" x14ac:dyDescent="0.3">
      <c r="A337" s="19">
        <v>44980</v>
      </c>
      <c r="B337">
        <v>1760.630005</v>
      </c>
      <c r="C337">
        <v>1769.589966</v>
      </c>
      <c r="D337">
        <v>1725.6400149999999</v>
      </c>
      <c r="E337">
        <v>1758.7700199999999</v>
      </c>
      <c r="F337" s="127">
        <v>1758.7700199999999</v>
      </c>
      <c r="G337">
        <v>4376</v>
      </c>
    </row>
    <row r="338" spans="1:7" x14ac:dyDescent="0.3">
      <c r="A338" s="19">
        <v>44981</v>
      </c>
      <c r="B338">
        <v>1731</v>
      </c>
      <c r="C338">
        <v>1754.880005</v>
      </c>
      <c r="D338">
        <v>1700.469971</v>
      </c>
      <c r="E338">
        <v>1709.23999</v>
      </c>
      <c r="F338" s="127">
        <v>1709.23999</v>
      </c>
      <c r="G338">
        <v>4817</v>
      </c>
    </row>
    <row r="339" spans="1:7" x14ac:dyDescent="0.3">
      <c r="A339" s="19">
        <v>44984</v>
      </c>
      <c r="B339">
        <v>1730.73999</v>
      </c>
      <c r="C339">
        <v>1744.9799800000001</v>
      </c>
      <c r="D339">
        <v>1711.2299800000001</v>
      </c>
      <c r="E339">
        <v>1718.7700199999999</v>
      </c>
      <c r="F339" s="127">
        <v>1718.7700199999999</v>
      </c>
      <c r="G339">
        <v>4153</v>
      </c>
    </row>
    <row r="340" spans="1:7" x14ac:dyDescent="0.3">
      <c r="A340" s="19">
        <v>44985</v>
      </c>
      <c r="B340">
        <v>1725.969971</v>
      </c>
      <c r="C340">
        <v>1736.030029</v>
      </c>
      <c r="D340">
        <v>1702.9300539999999</v>
      </c>
      <c r="E340">
        <v>1726</v>
      </c>
      <c r="F340" s="127">
        <v>1726</v>
      </c>
      <c r="G340">
        <v>3609</v>
      </c>
    </row>
    <row r="341" spans="1:7" x14ac:dyDescent="0.3">
      <c r="A341" s="19">
        <v>44986</v>
      </c>
      <c r="B341">
        <v>1720</v>
      </c>
      <c r="C341">
        <v>1720</v>
      </c>
      <c r="D341">
        <v>1665</v>
      </c>
      <c r="E341">
        <v>1667.9799800000001</v>
      </c>
      <c r="F341" s="127">
        <v>1667.9799800000001</v>
      </c>
      <c r="G341">
        <v>13277</v>
      </c>
    </row>
    <row r="342" spans="1:7" x14ac:dyDescent="0.3">
      <c r="A342" s="19">
        <v>44987</v>
      </c>
      <c r="B342">
        <v>1667</v>
      </c>
      <c r="C342">
        <v>1673.4499510000001</v>
      </c>
      <c r="D342">
        <v>1640.01001</v>
      </c>
      <c r="E342">
        <v>1669.349976</v>
      </c>
      <c r="F342" s="127">
        <v>1669.349976</v>
      </c>
      <c r="G342">
        <v>7745</v>
      </c>
    </row>
    <row r="343" spans="1:7" x14ac:dyDescent="0.3">
      <c r="A343" s="19">
        <v>44988</v>
      </c>
      <c r="B343">
        <v>1677.6899410000001</v>
      </c>
      <c r="C343">
        <v>1704.959961</v>
      </c>
      <c r="D343">
        <v>1675.01001</v>
      </c>
      <c r="E343">
        <v>1701.089966</v>
      </c>
      <c r="F343" s="127">
        <v>1701.089966</v>
      </c>
      <c r="G343">
        <v>105078</v>
      </c>
    </row>
    <row r="344" spans="1:7" x14ac:dyDescent="0.3">
      <c r="A344" s="19">
        <v>44991</v>
      </c>
      <c r="B344">
        <v>1705</v>
      </c>
      <c r="C344">
        <v>1739.98999</v>
      </c>
      <c r="D344">
        <v>1690</v>
      </c>
      <c r="E344">
        <v>1693.900024</v>
      </c>
      <c r="F344" s="127">
        <v>1693.900024</v>
      </c>
      <c r="G344">
        <v>4871</v>
      </c>
    </row>
    <row r="345" spans="1:7" x14ac:dyDescent="0.3">
      <c r="A345" s="19">
        <v>44992</v>
      </c>
      <c r="B345">
        <v>1690</v>
      </c>
      <c r="C345">
        <v>1724.98999</v>
      </c>
      <c r="D345">
        <v>1684.9499510000001</v>
      </c>
      <c r="E345">
        <v>1694.280029</v>
      </c>
      <c r="F345" s="127">
        <v>1694.280029</v>
      </c>
      <c r="G345">
        <v>7884</v>
      </c>
    </row>
    <row r="346" spans="1:7" x14ac:dyDescent="0.3">
      <c r="A346" s="19">
        <v>44993</v>
      </c>
      <c r="B346">
        <v>1690.160034</v>
      </c>
      <c r="C346">
        <v>1690.160034</v>
      </c>
      <c r="D346">
        <v>1657.8000489999999</v>
      </c>
      <c r="E346">
        <v>1684.839966</v>
      </c>
      <c r="F346" s="127">
        <v>1684.839966</v>
      </c>
      <c r="G346">
        <v>4482</v>
      </c>
    </row>
    <row r="347" spans="1:7" x14ac:dyDescent="0.3">
      <c r="A347" s="19">
        <v>44994</v>
      </c>
      <c r="B347">
        <v>1684.839966</v>
      </c>
      <c r="C347">
        <v>1732</v>
      </c>
      <c r="D347">
        <v>1680</v>
      </c>
      <c r="E347">
        <v>1694.9300539999999</v>
      </c>
      <c r="F347" s="127">
        <v>1694.9300539999999</v>
      </c>
      <c r="G347">
        <v>13351</v>
      </c>
    </row>
    <row r="348" spans="1:7" x14ac:dyDescent="0.3">
      <c r="A348" s="19">
        <v>44995</v>
      </c>
      <c r="B348">
        <v>1709.030029</v>
      </c>
      <c r="C348">
        <v>1715</v>
      </c>
      <c r="D348">
        <v>1671.3100589999999</v>
      </c>
      <c r="E348">
        <v>1673.25</v>
      </c>
      <c r="F348" s="127">
        <v>1673.25</v>
      </c>
      <c r="G348">
        <v>99387</v>
      </c>
    </row>
    <row r="349" spans="1:7" x14ac:dyDescent="0.3">
      <c r="A349" s="19">
        <v>44998</v>
      </c>
      <c r="B349">
        <v>1670</v>
      </c>
      <c r="C349">
        <v>1781.9799800000001</v>
      </c>
      <c r="D349">
        <v>1665</v>
      </c>
      <c r="E349">
        <v>1752.089966</v>
      </c>
      <c r="F349" s="127">
        <v>1752.089966</v>
      </c>
      <c r="G349">
        <v>14939</v>
      </c>
    </row>
    <row r="350" spans="1:7" x14ac:dyDescent="0.3">
      <c r="A350" s="19">
        <v>44999</v>
      </c>
      <c r="B350">
        <v>1670</v>
      </c>
      <c r="C350">
        <v>1781.9799800000001</v>
      </c>
      <c r="D350">
        <v>1665</v>
      </c>
      <c r="E350">
        <v>1754.829956</v>
      </c>
      <c r="F350" s="127">
        <v>1754.829956</v>
      </c>
      <c r="G350">
        <v>6409</v>
      </c>
    </row>
    <row r="351" spans="1:7" x14ac:dyDescent="0.3">
      <c r="A351" s="19">
        <v>45000</v>
      </c>
      <c r="B351">
        <v>1767</v>
      </c>
      <c r="C351">
        <v>1831.5699460000001</v>
      </c>
      <c r="D351">
        <v>1765</v>
      </c>
      <c r="E351">
        <v>1826</v>
      </c>
      <c r="F351" s="127">
        <v>1826</v>
      </c>
      <c r="G351">
        <v>15960</v>
      </c>
    </row>
    <row r="352" spans="1:7" x14ac:dyDescent="0.3">
      <c r="A352" s="19">
        <v>45001</v>
      </c>
      <c r="B352">
        <v>1767</v>
      </c>
      <c r="C352">
        <v>1904.9799800000001</v>
      </c>
      <c r="D352">
        <v>1765</v>
      </c>
      <c r="E352">
        <v>1870.920044</v>
      </c>
      <c r="F352" s="127">
        <v>1870.920044</v>
      </c>
      <c r="G352">
        <v>23471</v>
      </c>
    </row>
    <row r="353" spans="1:7" x14ac:dyDescent="0.3">
      <c r="A353" s="19">
        <v>45002</v>
      </c>
      <c r="B353">
        <v>1873.969971</v>
      </c>
      <c r="C353">
        <v>1885.4799800000001</v>
      </c>
      <c r="D353">
        <v>1850.0200199999999</v>
      </c>
      <c r="E353">
        <v>1867.51001</v>
      </c>
      <c r="F353" s="127">
        <v>1867.51001</v>
      </c>
      <c r="G353">
        <v>4387</v>
      </c>
    </row>
    <row r="354" spans="1:7" x14ac:dyDescent="0.3">
      <c r="A354" s="19">
        <v>45006</v>
      </c>
      <c r="B354">
        <v>1825</v>
      </c>
      <c r="C354">
        <v>1878.0200199999999</v>
      </c>
      <c r="D354">
        <v>1825</v>
      </c>
      <c r="E354">
        <v>1874.0500489999999</v>
      </c>
      <c r="F354" s="127">
        <v>1874.0500489999999</v>
      </c>
      <c r="G354">
        <v>9346</v>
      </c>
    </row>
    <row r="355" spans="1:7" x14ac:dyDescent="0.3">
      <c r="A355" s="19">
        <v>45007</v>
      </c>
      <c r="B355">
        <v>1868</v>
      </c>
      <c r="C355">
        <v>1880</v>
      </c>
      <c r="D355">
        <v>1831.51001</v>
      </c>
      <c r="E355">
        <v>1842.3599850000001</v>
      </c>
      <c r="F355" s="127">
        <v>1842.3599850000001</v>
      </c>
      <c r="G355">
        <v>6707</v>
      </c>
    </row>
    <row r="356" spans="1:7" x14ac:dyDescent="0.3">
      <c r="A356" s="19">
        <v>45008</v>
      </c>
      <c r="B356">
        <v>1850</v>
      </c>
      <c r="C356">
        <v>1870</v>
      </c>
      <c r="D356">
        <v>1819</v>
      </c>
      <c r="E356">
        <v>1847.6400149999999</v>
      </c>
      <c r="F356" s="127">
        <v>1847.6400149999999</v>
      </c>
      <c r="G356">
        <v>10402</v>
      </c>
    </row>
    <row r="357" spans="1:7" x14ac:dyDescent="0.3">
      <c r="A357" s="19">
        <v>45009</v>
      </c>
      <c r="B357">
        <v>1827</v>
      </c>
      <c r="C357">
        <v>1827</v>
      </c>
      <c r="D357">
        <v>1794.8900149999999</v>
      </c>
      <c r="E357">
        <v>1808.6800539999999</v>
      </c>
      <c r="F357" s="127">
        <v>1808.6800539999999</v>
      </c>
      <c r="G357">
        <v>5667</v>
      </c>
    </row>
    <row r="358" spans="1:7" x14ac:dyDescent="0.3">
      <c r="A358" s="19">
        <v>45012</v>
      </c>
      <c r="B358">
        <v>1808.6800539999999</v>
      </c>
      <c r="C358">
        <v>1817</v>
      </c>
      <c r="D358">
        <v>1783.530029</v>
      </c>
      <c r="E358">
        <v>1805.380005</v>
      </c>
      <c r="F358" s="127">
        <v>1805.380005</v>
      </c>
      <c r="G358">
        <v>3738</v>
      </c>
    </row>
    <row r="359" spans="1:7" x14ac:dyDescent="0.3">
      <c r="A359" s="19">
        <v>45013</v>
      </c>
      <c r="B359">
        <v>1794</v>
      </c>
      <c r="C359">
        <v>1794</v>
      </c>
      <c r="D359">
        <v>1760</v>
      </c>
      <c r="E359">
        <v>1771.8199460000001</v>
      </c>
      <c r="F359" s="127">
        <v>1771.8199460000001</v>
      </c>
      <c r="G359">
        <v>12436</v>
      </c>
    </row>
    <row r="360" spans="1:7" x14ac:dyDescent="0.3">
      <c r="A360" s="19">
        <v>45014</v>
      </c>
      <c r="B360">
        <v>1783.959961</v>
      </c>
      <c r="C360">
        <v>1814.969971</v>
      </c>
      <c r="D360">
        <v>1783.959961</v>
      </c>
      <c r="E360">
        <v>1813.660034</v>
      </c>
      <c r="F360" s="127">
        <v>1813.660034</v>
      </c>
      <c r="G360">
        <v>26982</v>
      </c>
    </row>
    <row r="361" spans="1:7" x14ac:dyDescent="0.3">
      <c r="A361" s="19">
        <v>45015</v>
      </c>
      <c r="B361">
        <v>1815</v>
      </c>
      <c r="C361">
        <v>1859.0500489999999</v>
      </c>
      <c r="D361">
        <v>1815</v>
      </c>
      <c r="E361">
        <v>1845.219971</v>
      </c>
      <c r="F361" s="127">
        <v>1845.219971</v>
      </c>
      <c r="G361">
        <v>16511</v>
      </c>
    </row>
    <row r="362" spans="1:7" x14ac:dyDescent="0.3">
      <c r="A362" s="19">
        <v>45016</v>
      </c>
      <c r="B362">
        <v>1844.4499510000001</v>
      </c>
      <c r="C362">
        <v>1869.98999</v>
      </c>
      <c r="D362">
        <v>1842.6099850000001</v>
      </c>
      <c r="E362">
        <v>1856.410034</v>
      </c>
      <c r="F362" s="127">
        <v>1856.410034</v>
      </c>
      <c r="G362">
        <v>11068</v>
      </c>
    </row>
    <row r="363" spans="1:7" x14ac:dyDescent="0.3">
      <c r="A363" s="19">
        <v>45019</v>
      </c>
      <c r="B363">
        <v>1836</v>
      </c>
      <c r="C363">
        <v>1855.9399410000001</v>
      </c>
      <c r="D363">
        <v>1832.579956</v>
      </c>
      <c r="E363">
        <v>1850.3900149999999</v>
      </c>
      <c r="F363" s="127">
        <v>1850.3900149999999</v>
      </c>
      <c r="G363">
        <v>23753</v>
      </c>
    </row>
    <row r="364" spans="1:7" x14ac:dyDescent="0.3">
      <c r="A364" s="19">
        <v>45020</v>
      </c>
      <c r="B364">
        <v>1849</v>
      </c>
      <c r="C364">
        <v>1887.5200199999999</v>
      </c>
      <c r="D364">
        <v>1849</v>
      </c>
      <c r="E364">
        <v>1880.1899410000001</v>
      </c>
      <c r="F364" s="127">
        <v>1880.1899410000001</v>
      </c>
      <c r="G364">
        <v>5362</v>
      </c>
    </row>
    <row r="365" spans="1:7" x14ac:dyDescent="0.3">
      <c r="A365" s="19">
        <v>45021</v>
      </c>
      <c r="B365">
        <v>1878</v>
      </c>
      <c r="C365">
        <v>1882</v>
      </c>
      <c r="D365">
        <v>1850.079956</v>
      </c>
      <c r="E365">
        <v>1857.6400149999999</v>
      </c>
      <c r="F365" s="127">
        <v>1857.6400149999999</v>
      </c>
      <c r="G365">
        <v>4327</v>
      </c>
    </row>
    <row r="366" spans="1:7" x14ac:dyDescent="0.3">
      <c r="A366" s="19">
        <v>45026</v>
      </c>
      <c r="B366">
        <v>1851.51001</v>
      </c>
      <c r="C366">
        <v>1851.51001</v>
      </c>
      <c r="D366">
        <v>1824.849976</v>
      </c>
      <c r="E366">
        <v>1848.719971</v>
      </c>
      <c r="F366" s="127">
        <v>1848.719971</v>
      </c>
      <c r="G366">
        <v>3488</v>
      </c>
    </row>
    <row r="367" spans="1:7" x14ac:dyDescent="0.3">
      <c r="A367" s="19">
        <v>45027</v>
      </c>
      <c r="B367">
        <v>1830</v>
      </c>
      <c r="C367">
        <v>1830</v>
      </c>
      <c r="D367">
        <v>1800.0600589999999</v>
      </c>
      <c r="E367">
        <v>1815.579956</v>
      </c>
      <c r="F367" s="127">
        <v>1815.579956</v>
      </c>
      <c r="G367">
        <v>8643</v>
      </c>
    </row>
    <row r="368" spans="1:7" x14ac:dyDescent="0.3">
      <c r="A368" s="19">
        <v>45028</v>
      </c>
      <c r="B368">
        <v>1810</v>
      </c>
      <c r="C368">
        <v>1814.1099850000001</v>
      </c>
      <c r="D368">
        <v>1766.900024</v>
      </c>
      <c r="E368">
        <v>1771.4799800000001</v>
      </c>
      <c r="F368" s="127">
        <v>1771.4799800000001</v>
      </c>
      <c r="G368">
        <v>4506</v>
      </c>
    </row>
    <row r="369" spans="1:7" x14ac:dyDescent="0.3">
      <c r="A369" s="19">
        <v>45029</v>
      </c>
      <c r="B369">
        <v>1805</v>
      </c>
      <c r="C369">
        <v>1845</v>
      </c>
      <c r="D369">
        <v>1797.8000489999999</v>
      </c>
      <c r="E369">
        <v>1843.5</v>
      </c>
      <c r="F369" s="127">
        <v>1843.5</v>
      </c>
      <c r="G369">
        <v>13360</v>
      </c>
    </row>
    <row r="370" spans="1:7" x14ac:dyDescent="0.3">
      <c r="A370" s="19">
        <v>45030</v>
      </c>
      <c r="B370">
        <v>1844.969971</v>
      </c>
      <c r="C370">
        <v>1861.9300539999999</v>
      </c>
      <c r="D370">
        <v>1828</v>
      </c>
      <c r="E370">
        <v>1846.25</v>
      </c>
      <c r="F370" s="127">
        <v>1846.25</v>
      </c>
      <c r="G370">
        <v>9469</v>
      </c>
    </row>
    <row r="371" spans="1:7" x14ac:dyDescent="0.3">
      <c r="A371" s="19">
        <v>45033</v>
      </c>
      <c r="B371">
        <v>1865</v>
      </c>
      <c r="C371">
        <v>1879.869995</v>
      </c>
      <c r="D371">
        <v>1840</v>
      </c>
      <c r="E371">
        <v>1850.5500489999999</v>
      </c>
      <c r="F371" s="127">
        <v>1850.5500489999999</v>
      </c>
      <c r="G371">
        <v>1467</v>
      </c>
    </row>
    <row r="372" spans="1:7" x14ac:dyDescent="0.3">
      <c r="A372" s="19">
        <v>45034</v>
      </c>
      <c r="B372">
        <v>1860</v>
      </c>
      <c r="C372">
        <v>1878.98999</v>
      </c>
      <c r="D372">
        <v>1834.540039</v>
      </c>
      <c r="E372">
        <v>1844.339966</v>
      </c>
      <c r="F372" s="127">
        <v>1844.339966</v>
      </c>
      <c r="G372">
        <v>7497</v>
      </c>
    </row>
    <row r="373" spans="1:7" x14ac:dyDescent="0.3">
      <c r="A373" s="19">
        <v>45035</v>
      </c>
      <c r="B373">
        <v>1842.6099850000001</v>
      </c>
      <c r="C373">
        <v>1896</v>
      </c>
      <c r="D373">
        <v>1842.6099850000001</v>
      </c>
      <c r="E373">
        <v>1883.400024</v>
      </c>
      <c r="F373" s="127">
        <v>1883.400024</v>
      </c>
      <c r="G373">
        <v>17521</v>
      </c>
    </row>
    <row r="374" spans="1:7" x14ac:dyDescent="0.3">
      <c r="A374" s="19">
        <v>45036</v>
      </c>
      <c r="B374">
        <v>1879.790039</v>
      </c>
      <c r="C374">
        <v>1894.829956</v>
      </c>
      <c r="D374">
        <v>1861.650024</v>
      </c>
      <c r="E374">
        <v>1870.579956</v>
      </c>
      <c r="F374" s="127">
        <v>1870.579956</v>
      </c>
      <c r="G374">
        <v>16749</v>
      </c>
    </row>
    <row r="375" spans="1:7" x14ac:dyDescent="0.3">
      <c r="A375" s="19">
        <v>45037</v>
      </c>
      <c r="B375">
        <v>1899</v>
      </c>
      <c r="C375">
        <v>1944.98999</v>
      </c>
      <c r="D375">
        <v>1890.01001</v>
      </c>
      <c r="E375">
        <v>1920.0200199999999</v>
      </c>
      <c r="F375" s="127">
        <v>1920.0200199999999</v>
      </c>
      <c r="G375">
        <v>56406</v>
      </c>
    </row>
    <row r="376" spans="1:7" x14ac:dyDescent="0.3">
      <c r="A376" s="19">
        <v>45040</v>
      </c>
      <c r="B376">
        <v>1920.0200199999999</v>
      </c>
      <c r="C376">
        <v>1962</v>
      </c>
      <c r="D376">
        <v>1896.8000489999999</v>
      </c>
      <c r="E376">
        <v>1905</v>
      </c>
      <c r="F376" s="127">
        <v>1905</v>
      </c>
      <c r="G376">
        <v>12330</v>
      </c>
    </row>
    <row r="377" spans="1:7" x14ac:dyDescent="0.3">
      <c r="A377" s="19">
        <v>45041</v>
      </c>
      <c r="B377">
        <v>1900</v>
      </c>
      <c r="C377">
        <v>1900</v>
      </c>
      <c r="D377">
        <v>1858.400024</v>
      </c>
      <c r="E377">
        <v>1864.7299800000001</v>
      </c>
      <c r="F377" s="127">
        <v>1864.7299800000001</v>
      </c>
      <c r="G377">
        <v>54015</v>
      </c>
    </row>
    <row r="378" spans="1:7" x14ac:dyDescent="0.3">
      <c r="A378" s="19">
        <v>45042</v>
      </c>
      <c r="B378">
        <v>1915</v>
      </c>
      <c r="C378">
        <v>1930.839966</v>
      </c>
      <c r="D378">
        <v>1888</v>
      </c>
      <c r="E378">
        <v>1906.380005</v>
      </c>
      <c r="F378" s="127">
        <v>1906.380005</v>
      </c>
      <c r="G378">
        <v>13686</v>
      </c>
    </row>
    <row r="379" spans="1:7" x14ac:dyDescent="0.3">
      <c r="A379" s="19">
        <v>45043</v>
      </c>
      <c r="B379">
        <v>1952</v>
      </c>
      <c r="C379">
        <v>2000</v>
      </c>
      <c r="D379">
        <v>1933.4499510000001</v>
      </c>
      <c r="E379">
        <v>1981.48999</v>
      </c>
      <c r="F379" s="127">
        <v>1981.48999</v>
      </c>
      <c r="G379">
        <v>46100</v>
      </c>
    </row>
    <row r="380" spans="1:7" x14ac:dyDescent="0.3">
      <c r="A380" s="19">
        <v>45044</v>
      </c>
      <c r="B380">
        <v>1940</v>
      </c>
      <c r="C380">
        <v>1960</v>
      </c>
      <c r="D380">
        <v>1886.01001</v>
      </c>
      <c r="E380">
        <v>1904.1899410000001</v>
      </c>
      <c r="F380" s="127">
        <v>1904.1899410000001</v>
      </c>
      <c r="G380">
        <v>24428</v>
      </c>
    </row>
    <row r="381" spans="1:7" x14ac:dyDescent="0.3">
      <c r="A381" s="19">
        <v>45048</v>
      </c>
      <c r="B381">
        <v>1824</v>
      </c>
      <c r="C381">
        <v>1870.5</v>
      </c>
      <c r="D381">
        <v>1819</v>
      </c>
      <c r="E381">
        <v>1865.170044</v>
      </c>
      <c r="F381" s="127">
        <v>1865.170044</v>
      </c>
      <c r="G381">
        <v>14850</v>
      </c>
    </row>
    <row r="382" spans="1:7" x14ac:dyDescent="0.3">
      <c r="A382" s="19">
        <v>45049</v>
      </c>
      <c r="B382">
        <v>1867</v>
      </c>
      <c r="C382">
        <v>1899.959961</v>
      </c>
      <c r="D382">
        <v>1860.98999</v>
      </c>
      <c r="E382">
        <v>1860.98999</v>
      </c>
      <c r="F382" s="127">
        <v>1860.98999</v>
      </c>
      <c r="G382">
        <v>2226</v>
      </c>
    </row>
    <row r="383" spans="1:7" x14ac:dyDescent="0.3">
      <c r="A383" s="19">
        <v>45050</v>
      </c>
      <c r="B383">
        <v>1860</v>
      </c>
      <c r="C383">
        <v>1885.9799800000001</v>
      </c>
      <c r="D383">
        <v>1857.8100589999999</v>
      </c>
      <c r="E383">
        <v>1863.969971</v>
      </c>
      <c r="F383" s="127">
        <v>1863.969971</v>
      </c>
      <c r="G383">
        <v>7722</v>
      </c>
    </row>
    <row r="384" spans="1:7" x14ac:dyDescent="0.3">
      <c r="A384" s="19">
        <v>45051</v>
      </c>
      <c r="B384">
        <v>1856</v>
      </c>
      <c r="C384">
        <v>1879.51001</v>
      </c>
      <c r="D384">
        <v>1854</v>
      </c>
      <c r="E384">
        <v>1875.209961</v>
      </c>
      <c r="F384" s="127">
        <v>1875.209961</v>
      </c>
      <c r="G384">
        <v>20668</v>
      </c>
    </row>
    <row r="385" spans="1:7" x14ac:dyDescent="0.3">
      <c r="A385" s="19">
        <v>45054</v>
      </c>
      <c r="B385">
        <v>1875.209961</v>
      </c>
      <c r="C385">
        <v>1889.969971</v>
      </c>
      <c r="D385">
        <v>1867.5</v>
      </c>
      <c r="E385">
        <v>1885.8000489999999</v>
      </c>
      <c r="F385" s="127">
        <v>1885.8000489999999</v>
      </c>
      <c r="G385">
        <v>2726</v>
      </c>
    </row>
    <row r="386" spans="1:7" x14ac:dyDescent="0.3">
      <c r="A386" s="19">
        <v>45055</v>
      </c>
      <c r="B386">
        <v>1876.5</v>
      </c>
      <c r="C386">
        <v>1895.98999</v>
      </c>
      <c r="D386">
        <v>1875</v>
      </c>
      <c r="E386">
        <v>1891.099976</v>
      </c>
      <c r="F386" s="127">
        <v>1891.099976</v>
      </c>
      <c r="G386">
        <v>3977</v>
      </c>
    </row>
    <row r="387" spans="1:7" x14ac:dyDescent="0.3">
      <c r="A387" s="19">
        <v>45056</v>
      </c>
      <c r="B387">
        <v>1900</v>
      </c>
      <c r="C387">
        <v>1943</v>
      </c>
      <c r="D387">
        <v>1900</v>
      </c>
      <c r="E387">
        <v>1937.0500489999999</v>
      </c>
      <c r="F387" s="127">
        <v>1937.0500489999999</v>
      </c>
      <c r="G387">
        <v>17649</v>
      </c>
    </row>
    <row r="388" spans="1:7" x14ac:dyDescent="0.3">
      <c r="A388" s="19">
        <v>45057</v>
      </c>
      <c r="B388">
        <v>1954</v>
      </c>
      <c r="C388">
        <v>1993</v>
      </c>
      <c r="D388">
        <v>1950</v>
      </c>
      <c r="E388">
        <v>1976.6999510000001</v>
      </c>
      <c r="F388" s="127">
        <v>1976.6999510000001</v>
      </c>
      <c r="G388">
        <v>17987</v>
      </c>
    </row>
    <row r="389" spans="1:7" x14ac:dyDescent="0.3">
      <c r="A389" s="19">
        <v>45058</v>
      </c>
      <c r="B389">
        <v>1973.6400149999999</v>
      </c>
      <c r="C389">
        <v>1977</v>
      </c>
      <c r="D389">
        <v>1924.4499510000001</v>
      </c>
      <c r="E389">
        <v>1934.2299800000001</v>
      </c>
      <c r="F389" s="127">
        <v>1934.2299800000001</v>
      </c>
      <c r="G389">
        <v>10422</v>
      </c>
    </row>
    <row r="390" spans="1:7" x14ac:dyDescent="0.3">
      <c r="A390" s="19">
        <v>45061</v>
      </c>
      <c r="B390">
        <v>1931</v>
      </c>
      <c r="C390">
        <v>1945.1999510000001</v>
      </c>
      <c r="D390">
        <v>1929.75</v>
      </c>
      <c r="E390">
        <v>1936.6899410000001</v>
      </c>
      <c r="F390" s="127">
        <v>1936.6899410000001</v>
      </c>
      <c r="G390">
        <v>7405</v>
      </c>
    </row>
    <row r="391" spans="1:7" x14ac:dyDescent="0.3">
      <c r="A391" s="19">
        <v>45062</v>
      </c>
      <c r="B391">
        <v>1940</v>
      </c>
      <c r="C391">
        <v>2003.4799800000001</v>
      </c>
      <c r="D391">
        <v>1940</v>
      </c>
      <c r="E391">
        <v>1984.8900149999999</v>
      </c>
      <c r="F391" s="127">
        <v>1984.8900149999999</v>
      </c>
      <c r="G391">
        <v>11674</v>
      </c>
    </row>
    <row r="392" spans="1:7" x14ac:dyDescent="0.3">
      <c r="A392" s="19">
        <v>45063</v>
      </c>
      <c r="B392">
        <v>2010</v>
      </c>
      <c r="C392">
        <v>2048.889893</v>
      </c>
      <c r="D392">
        <v>1990.6899410000001</v>
      </c>
      <c r="E392">
        <v>2030.5600589999999</v>
      </c>
      <c r="F392" s="127">
        <v>2030.5600589999999</v>
      </c>
      <c r="G392">
        <v>13095</v>
      </c>
    </row>
    <row r="393" spans="1:7" x14ac:dyDescent="0.3">
      <c r="A393" s="19">
        <v>45064</v>
      </c>
      <c r="B393">
        <v>2050</v>
      </c>
      <c r="C393">
        <v>2100</v>
      </c>
      <c r="D393">
        <v>2030.3000489999999</v>
      </c>
      <c r="E393">
        <v>2086.8798830000001</v>
      </c>
      <c r="F393" s="127">
        <v>2086.8798830000001</v>
      </c>
      <c r="G393">
        <v>7519</v>
      </c>
    </row>
    <row r="394" spans="1:7" x14ac:dyDescent="0.3">
      <c r="A394" s="19">
        <v>45065</v>
      </c>
      <c r="B394">
        <v>2088</v>
      </c>
      <c r="C394">
        <v>2088</v>
      </c>
      <c r="D394">
        <v>2054</v>
      </c>
      <c r="E394">
        <v>2058.5</v>
      </c>
      <c r="F394" s="127">
        <v>2058.5</v>
      </c>
      <c r="G394">
        <v>9534</v>
      </c>
    </row>
    <row r="395" spans="1:7" x14ac:dyDescent="0.3">
      <c r="A395" s="19">
        <v>45068</v>
      </c>
      <c r="B395">
        <v>2055</v>
      </c>
      <c r="C395">
        <v>2092</v>
      </c>
      <c r="D395">
        <v>2038.01001</v>
      </c>
      <c r="E395">
        <v>2055.7700199999999</v>
      </c>
      <c r="F395" s="127">
        <v>2055.7700199999999</v>
      </c>
      <c r="G395">
        <v>13759</v>
      </c>
    </row>
    <row r="396" spans="1:7" x14ac:dyDescent="0.3">
      <c r="A396" s="19">
        <v>45069</v>
      </c>
      <c r="B396">
        <v>2064.780029</v>
      </c>
      <c r="C396">
        <v>2104.9399410000001</v>
      </c>
      <c r="D396">
        <v>2062.01001</v>
      </c>
      <c r="E396">
        <v>2069.0500489999999</v>
      </c>
      <c r="F396" s="127">
        <v>2069.0500489999999</v>
      </c>
      <c r="G396">
        <v>9784</v>
      </c>
    </row>
    <row r="397" spans="1:7" x14ac:dyDescent="0.3">
      <c r="A397" s="19">
        <v>45070</v>
      </c>
      <c r="B397">
        <v>2062.5</v>
      </c>
      <c r="C397">
        <v>2087</v>
      </c>
      <c r="D397">
        <v>2054.2700199999999</v>
      </c>
      <c r="E397">
        <v>2077.969971</v>
      </c>
      <c r="F397" s="127">
        <v>2077.969971</v>
      </c>
      <c r="G397">
        <v>15570</v>
      </c>
    </row>
    <row r="398" spans="1:7" x14ac:dyDescent="0.3">
      <c r="A398" s="19">
        <v>45071</v>
      </c>
      <c r="B398">
        <v>2080</v>
      </c>
      <c r="C398">
        <v>2080</v>
      </c>
      <c r="D398">
        <v>2034.0500489999999</v>
      </c>
      <c r="E398">
        <v>2053.25</v>
      </c>
      <c r="F398" s="127">
        <v>2053.25</v>
      </c>
      <c r="G398">
        <v>19908</v>
      </c>
    </row>
    <row r="399" spans="1:7" x14ac:dyDescent="0.3">
      <c r="A399" s="19">
        <v>45072</v>
      </c>
      <c r="B399">
        <v>2073.3999020000001</v>
      </c>
      <c r="C399">
        <v>2145</v>
      </c>
      <c r="D399">
        <v>2073.3999020000001</v>
      </c>
      <c r="E399">
        <v>2109.469971</v>
      </c>
      <c r="F399" s="127">
        <v>2109.469971</v>
      </c>
      <c r="G399">
        <v>55678</v>
      </c>
    </row>
    <row r="400" spans="1:7" x14ac:dyDescent="0.3">
      <c r="A400" s="19">
        <v>45075</v>
      </c>
      <c r="B400">
        <v>2132</v>
      </c>
      <c r="C400">
        <v>2150</v>
      </c>
      <c r="D400">
        <v>2132</v>
      </c>
      <c r="E400">
        <v>2150</v>
      </c>
      <c r="F400" s="127">
        <v>2150</v>
      </c>
      <c r="G400">
        <v>301</v>
      </c>
    </row>
    <row r="401" spans="1:7" x14ac:dyDescent="0.3">
      <c r="A401" s="19">
        <v>45076</v>
      </c>
      <c r="B401">
        <v>2150</v>
      </c>
      <c r="C401">
        <v>2159.98999</v>
      </c>
      <c r="D401">
        <v>2110</v>
      </c>
      <c r="E401">
        <v>2148.0600589999999</v>
      </c>
      <c r="F401" s="127">
        <v>2148.0600589999999</v>
      </c>
      <c r="G401">
        <v>11507</v>
      </c>
    </row>
    <row r="402" spans="1:7" x14ac:dyDescent="0.3">
      <c r="A402" s="19">
        <v>45077</v>
      </c>
      <c r="B402">
        <v>2135.7299800000001</v>
      </c>
      <c r="C402">
        <v>2145</v>
      </c>
      <c r="D402">
        <v>2110.459961</v>
      </c>
      <c r="E402">
        <v>2134.9499510000001</v>
      </c>
      <c r="F402" s="127">
        <v>2134.9499510000001</v>
      </c>
      <c r="G402">
        <v>21210</v>
      </c>
    </row>
    <row r="403" spans="1:7" x14ac:dyDescent="0.3">
      <c r="A403" s="19">
        <v>45078</v>
      </c>
      <c r="B403">
        <v>2135.459961</v>
      </c>
      <c r="C403">
        <v>2168.969971</v>
      </c>
      <c r="D403">
        <v>2134.080078</v>
      </c>
      <c r="E403">
        <v>2150</v>
      </c>
      <c r="F403" s="127">
        <v>2150</v>
      </c>
      <c r="G403">
        <v>15153</v>
      </c>
    </row>
    <row r="404" spans="1:7" x14ac:dyDescent="0.3">
      <c r="A404" s="19">
        <v>45079</v>
      </c>
      <c r="B404">
        <v>2170</v>
      </c>
      <c r="C404">
        <v>2204.969971</v>
      </c>
      <c r="D404">
        <v>2170</v>
      </c>
      <c r="E404">
        <v>2180.8100589999999</v>
      </c>
      <c r="F404" s="127">
        <v>2180.8100589999999</v>
      </c>
      <c r="G404">
        <v>23694</v>
      </c>
    </row>
    <row r="405" spans="1:7" x14ac:dyDescent="0.3">
      <c r="A405" s="19">
        <v>45082</v>
      </c>
      <c r="B405">
        <v>2185</v>
      </c>
      <c r="C405">
        <v>2194</v>
      </c>
      <c r="D405">
        <v>2170</v>
      </c>
      <c r="E405">
        <v>2187.280029</v>
      </c>
      <c r="F405" s="127">
        <v>2187.280029</v>
      </c>
      <c r="G405">
        <v>18400</v>
      </c>
    </row>
    <row r="406" spans="1:7" x14ac:dyDescent="0.3">
      <c r="A406" s="19">
        <v>45083</v>
      </c>
      <c r="B406">
        <v>2190</v>
      </c>
      <c r="C406">
        <v>2215</v>
      </c>
      <c r="D406">
        <v>2189</v>
      </c>
      <c r="E406">
        <v>2202.3500979999999</v>
      </c>
      <c r="F406" s="127">
        <v>2202.3500979999999</v>
      </c>
      <c r="G406">
        <v>9055</v>
      </c>
    </row>
    <row r="407" spans="1:7" x14ac:dyDescent="0.3">
      <c r="A407" s="19">
        <v>45084</v>
      </c>
      <c r="B407">
        <v>2216.469971</v>
      </c>
      <c r="C407">
        <v>2216.469971</v>
      </c>
      <c r="D407">
        <v>2095</v>
      </c>
      <c r="E407">
        <v>2101.3000489999999</v>
      </c>
      <c r="F407" s="127">
        <v>2101.3000489999999</v>
      </c>
      <c r="G407">
        <v>11170</v>
      </c>
    </row>
    <row r="408" spans="1:7" x14ac:dyDescent="0.3">
      <c r="A408" s="19">
        <v>45085</v>
      </c>
      <c r="B408">
        <v>2127.8999020000001</v>
      </c>
      <c r="C408">
        <v>2190.73999</v>
      </c>
      <c r="D408">
        <v>2127.8999020000001</v>
      </c>
      <c r="E408">
        <v>2157.3999020000001</v>
      </c>
      <c r="F408" s="127">
        <v>2157.3999020000001</v>
      </c>
      <c r="G408">
        <v>13787</v>
      </c>
    </row>
    <row r="409" spans="1:7" x14ac:dyDescent="0.3">
      <c r="A409" s="19">
        <v>45086</v>
      </c>
      <c r="B409">
        <v>2154.73999</v>
      </c>
      <c r="C409">
        <v>2177.98999</v>
      </c>
      <c r="D409">
        <v>2127.8999020000001</v>
      </c>
      <c r="E409">
        <v>2134.959961</v>
      </c>
      <c r="F409" s="127">
        <v>2134.959961</v>
      </c>
      <c r="G409">
        <v>8060</v>
      </c>
    </row>
    <row r="410" spans="1:7" x14ac:dyDescent="0.3">
      <c r="A410" s="19">
        <v>45089</v>
      </c>
      <c r="B410">
        <v>2141</v>
      </c>
      <c r="C410">
        <v>2190</v>
      </c>
      <c r="D410">
        <v>2141</v>
      </c>
      <c r="E410">
        <v>2181.860107</v>
      </c>
      <c r="F410" s="127">
        <v>2181.860107</v>
      </c>
      <c r="G410">
        <v>29211</v>
      </c>
    </row>
    <row r="411" spans="1:7" x14ac:dyDescent="0.3">
      <c r="A411" s="19">
        <v>45090</v>
      </c>
      <c r="B411">
        <v>2199.969971</v>
      </c>
      <c r="C411">
        <v>2210</v>
      </c>
      <c r="D411">
        <v>2169.1000979999999</v>
      </c>
      <c r="E411">
        <v>2174.8400879999999</v>
      </c>
      <c r="F411" s="127">
        <v>2174.8400879999999</v>
      </c>
      <c r="G411">
        <v>9479</v>
      </c>
    </row>
    <row r="412" spans="1:7" x14ac:dyDescent="0.3">
      <c r="A412" s="19">
        <v>45091</v>
      </c>
      <c r="B412">
        <v>2180.959961</v>
      </c>
      <c r="C412">
        <v>2180.959961</v>
      </c>
      <c r="D412">
        <v>2136.8500979999999</v>
      </c>
      <c r="E412">
        <v>2155.8999020000001</v>
      </c>
      <c r="F412" s="127">
        <v>2155.8999020000001</v>
      </c>
      <c r="G412">
        <v>9566</v>
      </c>
    </row>
    <row r="413" spans="1:7" x14ac:dyDescent="0.3">
      <c r="A413" s="19">
        <v>45092</v>
      </c>
      <c r="B413">
        <v>2138.0600589999999</v>
      </c>
      <c r="C413">
        <v>2183.969971</v>
      </c>
      <c r="D413">
        <v>2138.0600589999999</v>
      </c>
      <c r="E413">
        <v>2174.4399410000001</v>
      </c>
      <c r="F413" s="127">
        <v>2174.4399410000001</v>
      </c>
      <c r="G413">
        <v>6731</v>
      </c>
    </row>
    <row r="414" spans="1:7" x14ac:dyDescent="0.3">
      <c r="A414" s="19">
        <v>45093</v>
      </c>
      <c r="B414">
        <v>2182.98999</v>
      </c>
      <c r="C414">
        <v>2182.98999</v>
      </c>
      <c r="D414">
        <v>2137</v>
      </c>
      <c r="E414">
        <v>2145.76001</v>
      </c>
      <c r="F414" s="127">
        <v>2145.76001</v>
      </c>
      <c r="G414">
        <v>10490</v>
      </c>
    </row>
    <row r="415" spans="1:7" x14ac:dyDescent="0.3">
      <c r="A415" s="19">
        <v>45096</v>
      </c>
      <c r="B415">
        <v>2157.969971</v>
      </c>
      <c r="C415">
        <v>2158.0200199999999</v>
      </c>
      <c r="D415">
        <v>2145.8100589999999</v>
      </c>
      <c r="E415">
        <v>2146</v>
      </c>
      <c r="F415" s="127">
        <v>2146</v>
      </c>
      <c r="G415">
        <v>226</v>
      </c>
    </row>
    <row r="416" spans="1:7" x14ac:dyDescent="0.3">
      <c r="A416" s="19">
        <v>45097</v>
      </c>
      <c r="B416">
        <v>2145.8000489999999</v>
      </c>
      <c r="C416">
        <v>2179.959961</v>
      </c>
      <c r="D416">
        <v>2135.01001</v>
      </c>
      <c r="E416">
        <v>2164.320068</v>
      </c>
      <c r="F416" s="127">
        <v>2164.320068</v>
      </c>
      <c r="G416">
        <v>23518</v>
      </c>
    </row>
    <row r="417" spans="1:7" x14ac:dyDescent="0.3">
      <c r="A417" s="19">
        <v>45098</v>
      </c>
      <c r="B417">
        <v>2162.8000489999999</v>
      </c>
      <c r="C417">
        <v>2177</v>
      </c>
      <c r="D417">
        <v>2130</v>
      </c>
      <c r="E417">
        <v>2137.530029</v>
      </c>
      <c r="F417" s="127">
        <v>2137.530029</v>
      </c>
      <c r="G417">
        <v>4767</v>
      </c>
    </row>
    <row r="418" spans="1:7" x14ac:dyDescent="0.3">
      <c r="A418" s="19">
        <v>45099</v>
      </c>
      <c r="B418">
        <v>2152</v>
      </c>
      <c r="C418">
        <v>2235.0200199999999</v>
      </c>
      <c r="D418">
        <v>2152</v>
      </c>
      <c r="E418">
        <v>2233.8500979999999</v>
      </c>
      <c r="F418" s="127">
        <v>2233.8500979999999</v>
      </c>
      <c r="G418">
        <v>7449</v>
      </c>
    </row>
    <row r="419" spans="1:7" x14ac:dyDescent="0.3">
      <c r="A419" s="19">
        <v>45100</v>
      </c>
      <c r="B419">
        <v>2245</v>
      </c>
      <c r="C419">
        <v>2250</v>
      </c>
      <c r="D419">
        <v>2207.080078</v>
      </c>
      <c r="E419">
        <v>2222.280029</v>
      </c>
      <c r="F419" s="127">
        <v>2222.280029</v>
      </c>
      <c r="G419">
        <v>65240</v>
      </c>
    </row>
    <row r="420" spans="1:7" x14ac:dyDescent="0.3">
      <c r="A420" s="19">
        <v>45103</v>
      </c>
      <c r="B420">
        <v>2225</v>
      </c>
      <c r="C420">
        <v>2249.9499510000001</v>
      </c>
      <c r="D420">
        <v>2180</v>
      </c>
      <c r="E420">
        <v>2188.3100589999999</v>
      </c>
      <c r="F420" s="127">
        <v>2188.3100589999999</v>
      </c>
      <c r="G420">
        <v>6728</v>
      </c>
    </row>
    <row r="421" spans="1:7" x14ac:dyDescent="0.3">
      <c r="A421" s="19">
        <v>45104</v>
      </c>
      <c r="B421">
        <v>2190</v>
      </c>
      <c r="C421">
        <v>2223.25</v>
      </c>
      <c r="D421">
        <v>2179.0200199999999</v>
      </c>
      <c r="E421">
        <v>2207.6201169999999</v>
      </c>
      <c r="F421" s="127">
        <v>2207.6201169999999</v>
      </c>
      <c r="G421">
        <v>9401</v>
      </c>
    </row>
    <row r="422" spans="1:7" x14ac:dyDescent="0.3">
      <c r="A422" s="19">
        <v>45105</v>
      </c>
      <c r="B422">
        <v>2205</v>
      </c>
      <c r="C422">
        <v>2247.9499510000001</v>
      </c>
      <c r="D422">
        <v>2195</v>
      </c>
      <c r="E422">
        <v>2201.9799800000001</v>
      </c>
      <c r="F422" s="127">
        <v>2201.9799800000001</v>
      </c>
      <c r="G422">
        <v>11926</v>
      </c>
    </row>
    <row r="423" spans="1:7" x14ac:dyDescent="0.3">
      <c r="A423" s="19">
        <v>45106</v>
      </c>
      <c r="B423">
        <v>2200.6201169999999</v>
      </c>
      <c r="C423">
        <v>2214.959961</v>
      </c>
      <c r="D423">
        <v>2180.6999510000001</v>
      </c>
      <c r="E423">
        <v>2192.6999510000001</v>
      </c>
      <c r="F423" s="127">
        <v>2192.6999510000001</v>
      </c>
      <c r="G423">
        <v>9508</v>
      </c>
    </row>
    <row r="424" spans="1:7" x14ac:dyDescent="0.3">
      <c r="A424" s="19">
        <v>45107</v>
      </c>
      <c r="B424">
        <v>2195.9399410000001</v>
      </c>
      <c r="C424">
        <v>2241.9799800000001</v>
      </c>
      <c r="D424">
        <v>2195.9399410000001</v>
      </c>
      <c r="E424">
        <v>2232.4799800000001</v>
      </c>
      <c r="F424" s="127">
        <v>2232.4799800000001</v>
      </c>
      <c r="G424">
        <v>8450</v>
      </c>
    </row>
    <row r="425" spans="1:7" x14ac:dyDescent="0.3">
      <c r="A425" s="19">
        <v>45110</v>
      </c>
      <c r="B425">
        <v>2239.8701169999999</v>
      </c>
      <c r="C425">
        <v>2247.8999020000001</v>
      </c>
      <c r="D425">
        <v>2190</v>
      </c>
      <c r="E425">
        <v>2220</v>
      </c>
      <c r="F425" s="127">
        <v>2220</v>
      </c>
      <c r="G425">
        <v>17389</v>
      </c>
    </row>
    <row r="426" spans="1:7" x14ac:dyDescent="0.3">
      <c r="A426" s="19">
        <v>45111</v>
      </c>
      <c r="B426">
        <v>2221</v>
      </c>
      <c r="C426">
        <v>2223</v>
      </c>
      <c r="D426">
        <v>2220.1000979999999</v>
      </c>
      <c r="E426">
        <v>2223</v>
      </c>
      <c r="F426" s="127">
        <v>2223</v>
      </c>
      <c r="G426">
        <v>108</v>
      </c>
    </row>
    <row r="427" spans="1:7" x14ac:dyDescent="0.3">
      <c r="A427" s="19">
        <v>45112</v>
      </c>
      <c r="B427">
        <v>2215</v>
      </c>
      <c r="C427">
        <v>2228</v>
      </c>
      <c r="D427">
        <v>2205.429932</v>
      </c>
      <c r="E427">
        <v>2220.959961</v>
      </c>
      <c r="F427" s="127">
        <v>2220.959961</v>
      </c>
      <c r="G427">
        <v>19889</v>
      </c>
    </row>
    <row r="428" spans="1:7" x14ac:dyDescent="0.3">
      <c r="A428" s="19">
        <v>45113</v>
      </c>
      <c r="B428">
        <v>2215</v>
      </c>
      <c r="C428">
        <v>2232</v>
      </c>
      <c r="D428">
        <v>2184.070068</v>
      </c>
      <c r="E428">
        <v>2209.709961</v>
      </c>
      <c r="F428" s="127">
        <v>2209.709961</v>
      </c>
      <c r="G428">
        <v>8697</v>
      </c>
    </row>
    <row r="429" spans="1:7" x14ac:dyDescent="0.3">
      <c r="A429" s="19">
        <v>45114</v>
      </c>
      <c r="B429">
        <v>2206.0200199999999</v>
      </c>
      <c r="C429">
        <v>2237</v>
      </c>
      <c r="D429">
        <v>2205.429932</v>
      </c>
      <c r="E429">
        <v>2225.469971</v>
      </c>
      <c r="F429" s="127">
        <v>2225.469971</v>
      </c>
      <c r="G429">
        <v>10890</v>
      </c>
    </row>
    <row r="430" spans="1:7" x14ac:dyDescent="0.3">
      <c r="A430" s="19">
        <v>45117</v>
      </c>
      <c r="B430">
        <v>2214.0500489999999</v>
      </c>
      <c r="C430">
        <v>2214.0500489999999</v>
      </c>
      <c r="D430">
        <v>2150</v>
      </c>
      <c r="E430">
        <v>2168.929932</v>
      </c>
      <c r="F430" s="127">
        <v>2168.929932</v>
      </c>
      <c r="G430">
        <v>4096</v>
      </c>
    </row>
    <row r="431" spans="1:7" x14ac:dyDescent="0.3">
      <c r="A431" s="19">
        <v>45118</v>
      </c>
      <c r="B431">
        <v>2188</v>
      </c>
      <c r="C431">
        <v>2207</v>
      </c>
      <c r="D431">
        <v>2186.0500489999999</v>
      </c>
      <c r="E431">
        <v>2189.860107</v>
      </c>
      <c r="F431" s="127">
        <v>2189.860107</v>
      </c>
      <c r="G431">
        <v>2444</v>
      </c>
    </row>
    <row r="432" spans="1:7" x14ac:dyDescent="0.3">
      <c r="A432" s="19">
        <v>45119</v>
      </c>
      <c r="B432">
        <v>2188</v>
      </c>
      <c r="C432">
        <v>2219.98999</v>
      </c>
      <c r="D432">
        <v>2175</v>
      </c>
      <c r="E432">
        <v>2212.9099120000001</v>
      </c>
      <c r="F432" s="127">
        <v>2212.9099120000001</v>
      </c>
      <c r="G432">
        <v>12763</v>
      </c>
    </row>
    <row r="433" spans="1:7" x14ac:dyDescent="0.3">
      <c r="A433" s="19">
        <v>45120</v>
      </c>
      <c r="B433">
        <v>2240</v>
      </c>
      <c r="C433">
        <v>2271.709961</v>
      </c>
      <c r="D433">
        <v>2240</v>
      </c>
      <c r="E433">
        <v>2263.5</v>
      </c>
      <c r="F433" s="127">
        <v>2263.5</v>
      </c>
      <c r="G433">
        <v>15943</v>
      </c>
    </row>
    <row r="434" spans="1:7" x14ac:dyDescent="0.3">
      <c r="A434" s="19">
        <v>45121</v>
      </c>
      <c r="B434">
        <v>2262.23999</v>
      </c>
      <c r="C434">
        <v>2300</v>
      </c>
      <c r="D434">
        <v>2248.030029</v>
      </c>
      <c r="E434">
        <v>2249.23999</v>
      </c>
      <c r="F434" s="127">
        <v>2249.23999</v>
      </c>
      <c r="G434">
        <v>4998</v>
      </c>
    </row>
    <row r="435" spans="1:7" x14ac:dyDescent="0.3">
      <c r="A435" s="19">
        <v>45124</v>
      </c>
      <c r="B435">
        <v>2276</v>
      </c>
      <c r="C435">
        <v>2276</v>
      </c>
      <c r="D435">
        <v>2234</v>
      </c>
      <c r="E435">
        <v>2237.1899410000001</v>
      </c>
      <c r="F435" s="127">
        <v>2237.1899410000001</v>
      </c>
      <c r="G435">
        <v>20595</v>
      </c>
    </row>
    <row r="436" spans="1:7" x14ac:dyDescent="0.3">
      <c r="A436" s="19">
        <v>45125</v>
      </c>
      <c r="B436">
        <v>2244.98999</v>
      </c>
      <c r="C436">
        <v>2244.98999</v>
      </c>
      <c r="D436">
        <v>2202.820068</v>
      </c>
      <c r="E436">
        <v>2229.7299800000001</v>
      </c>
      <c r="F436" s="127">
        <v>2229.7299800000001</v>
      </c>
      <c r="G436">
        <v>7788</v>
      </c>
    </row>
    <row r="437" spans="1:7" x14ac:dyDescent="0.3">
      <c r="A437" s="19">
        <v>45126</v>
      </c>
      <c r="B437">
        <v>2229.7299800000001</v>
      </c>
      <c r="C437">
        <v>2274.9799800000001</v>
      </c>
      <c r="D437">
        <v>2222</v>
      </c>
      <c r="E437">
        <v>2267.1599120000001</v>
      </c>
      <c r="F437" s="127">
        <v>2267.1599120000001</v>
      </c>
      <c r="G437">
        <v>6193</v>
      </c>
    </row>
    <row r="438" spans="1:7" x14ac:dyDescent="0.3">
      <c r="A438" s="19">
        <v>45127</v>
      </c>
      <c r="B438">
        <v>2261.01001</v>
      </c>
      <c r="C438">
        <v>2261.01001</v>
      </c>
      <c r="D438">
        <v>2181.4499510000001</v>
      </c>
      <c r="E438">
        <v>2203.8701169999999</v>
      </c>
      <c r="F438" s="127">
        <v>2203.8701169999999</v>
      </c>
      <c r="G438">
        <v>6711</v>
      </c>
    </row>
    <row r="439" spans="1:7" x14ac:dyDescent="0.3">
      <c r="A439" s="19">
        <v>45128</v>
      </c>
      <c r="B439">
        <v>2201</v>
      </c>
      <c r="C439">
        <v>2213</v>
      </c>
      <c r="D439">
        <v>2177.280029</v>
      </c>
      <c r="E439">
        <v>2199.919922</v>
      </c>
      <c r="F439" s="127">
        <v>2199.919922</v>
      </c>
      <c r="G439">
        <v>7063</v>
      </c>
    </row>
    <row r="440" spans="1:7" x14ac:dyDescent="0.3">
      <c r="A440" s="19">
        <v>45131</v>
      </c>
      <c r="B440">
        <v>2199.919922</v>
      </c>
      <c r="C440">
        <v>2199.919922</v>
      </c>
      <c r="D440">
        <v>2166</v>
      </c>
      <c r="E440">
        <v>2167.8400879999999</v>
      </c>
      <c r="F440" s="127">
        <v>2167.8400879999999</v>
      </c>
      <c r="G440">
        <v>4448</v>
      </c>
    </row>
    <row r="441" spans="1:7" x14ac:dyDescent="0.3">
      <c r="A441" s="19">
        <v>45132</v>
      </c>
      <c r="B441">
        <v>2185.969971</v>
      </c>
      <c r="C441">
        <v>2189.6999510000001</v>
      </c>
      <c r="D441">
        <v>2175</v>
      </c>
      <c r="E441">
        <v>2184.790039</v>
      </c>
      <c r="F441" s="127">
        <v>2184.790039</v>
      </c>
      <c r="G441">
        <v>4676</v>
      </c>
    </row>
    <row r="442" spans="1:7" x14ac:dyDescent="0.3">
      <c r="A442" s="19">
        <v>45133</v>
      </c>
      <c r="B442">
        <v>2180</v>
      </c>
      <c r="C442">
        <v>2182.8701169999999</v>
      </c>
      <c r="D442">
        <v>2125</v>
      </c>
      <c r="E442">
        <v>2156.320068</v>
      </c>
      <c r="F442" s="127">
        <v>2156.320068</v>
      </c>
      <c r="G442">
        <v>9391</v>
      </c>
    </row>
    <row r="443" spans="1:7" x14ac:dyDescent="0.3">
      <c r="A443" s="19">
        <v>45134</v>
      </c>
      <c r="B443">
        <v>2195</v>
      </c>
      <c r="C443">
        <v>2220</v>
      </c>
      <c r="D443">
        <v>2158</v>
      </c>
      <c r="E443">
        <v>2164.2299800000001</v>
      </c>
      <c r="F443" s="127">
        <v>2164.2299800000001</v>
      </c>
      <c r="G443">
        <v>10954</v>
      </c>
    </row>
    <row r="444" spans="1:7" x14ac:dyDescent="0.3">
      <c r="A444" s="19">
        <v>45135</v>
      </c>
      <c r="B444">
        <v>2165.23999</v>
      </c>
      <c r="C444">
        <v>2217.9799800000001</v>
      </c>
      <c r="D444">
        <v>2165.23999</v>
      </c>
      <c r="E444">
        <v>2209.580078</v>
      </c>
      <c r="F444" s="127">
        <v>2209.580078</v>
      </c>
      <c r="G444">
        <v>5333</v>
      </c>
    </row>
    <row r="445" spans="1:7" x14ac:dyDescent="0.3">
      <c r="A445" s="19">
        <v>45138</v>
      </c>
      <c r="B445">
        <v>2209.580078</v>
      </c>
      <c r="C445">
        <v>2239.959961</v>
      </c>
      <c r="D445">
        <v>2209.580078</v>
      </c>
      <c r="E445">
        <v>2232.7299800000001</v>
      </c>
      <c r="F445" s="127">
        <v>2232.7299800000001</v>
      </c>
      <c r="G445">
        <v>22419</v>
      </c>
    </row>
    <row r="446" spans="1:7" x14ac:dyDescent="0.3">
      <c r="A446" s="19">
        <v>45139</v>
      </c>
      <c r="B446">
        <v>2238.2299800000001</v>
      </c>
      <c r="C446">
        <v>2238.2299800000001</v>
      </c>
      <c r="D446">
        <v>2209.5900879999999</v>
      </c>
      <c r="E446">
        <v>2224.4799800000001</v>
      </c>
      <c r="F446" s="127">
        <v>2224.4799800000001</v>
      </c>
      <c r="G446">
        <v>13103</v>
      </c>
    </row>
    <row r="447" spans="1:7" x14ac:dyDescent="0.3">
      <c r="A447" s="19">
        <v>45140</v>
      </c>
      <c r="B447">
        <v>2202</v>
      </c>
      <c r="C447">
        <v>2202</v>
      </c>
      <c r="D447">
        <v>2163.51001</v>
      </c>
      <c r="E447">
        <v>2187.169922</v>
      </c>
      <c r="F447" s="127">
        <v>2187.169922</v>
      </c>
      <c r="G447">
        <v>8063</v>
      </c>
    </row>
    <row r="448" spans="1:7" x14ac:dyDescent="0.3">
      <c r="A448" s="19">
        <v>45141</v>
      </c>
      <c r="B448">
        <v>2194.919922</v>
      </c>
      <c r="C448">
        <v>2241.25</v>
      </c>
      <c r="D448">
        <v>2194.919922</v>
      </c>
      <c r="E448">
        <v>2226.6298830000001</v>
      </c>
      <c r="F448" s="127">
        <v>2226.6298830000001</v>
      </c>
      <c r="G448">
        <v>20279</v>
      </c>
    </row>
    <row r="449" spans="1:7" x14ac:dyDescent="0.3">
      <c r="A449" s="19">
        <v>45142</v>
      </c>
      <c r="B449">
        <v>2390</v>
      </c>
      <c r="C449">
        <v>2445.719971</v>
      </c>
      <c r="D449">
        <v>2379.8500979999999</v>
      </c>
      <c r="E449">
        <v>2390.030029</v>
      </c>
      <c r="F449" s="127">
        <v>2390.030029</v>
      </c>
      <c r="G449">
        <v>144129</v>
      </c>
    </row>
    <row r="450" spans="1:7" x14ac:dyDescent="0.3">
      <c r="A450" s="19">
        <v>45145</v>
      </c>
      <c r="B450">
        <v>2395.9099120000001</v>
      </c>
      <c r="C450">
        <v>2434.98999</v>
      </c>
      <c r="D450">
        <v>2378.1298830000001</v>
      </c>
      <c r="E450">
        <v>2421.4399410000001</v>
      </c>
      <c r="F450" s="127">
        <v>2421.4399410000001</v>
      </c>
      <c r="G450">
        <v>9516</v>
      </c>
    </row>
    <row r="451" spans="1:7" x14ac:dyDescent="0.3">
      <c r="A451" s="19">
        <v>45146</v>
      </c>
      <c r="B451">
        <v>2412.51001</v>
      </c>
      <c r="C451">
        <v>2412.929932</v>
      </c>
      <c r="D451">
        <v>2382.280029</v>
      </c>
      <c r="E451">
        <v>2389.919922</v>
      </c>
      <c r="F451" s="127">
        <v>2389.919922</v>
      </c>
      <c r="G451">
        <v>25454</v>
      </c>
    </row>
    <row r="452" spans="1:7" x14ac:dyDescent="0.3">
      <c r="A452" s="19">
        <v>45147</v>
      </c>
      <c r="B452">
        <v>2392.459961</v>
      </c>
      <c r="C452">
        <v>2400</v>
      </c>
      <c r="D452">
        <v>2344.9499510000001</v>
      </c>
      <c r="E452">
        <v>2356.9399410000001</v>
      </c>
      <c r="F452" s="127">
        <v>2356.9399410000001</v>
      </c>
      <c r="G452">
        <v>9316</v>
      </c>
    </row>
    <row r="453" spans="1:7" x14ac:dyDescent="0.3">
      <c r="A453" s="19">
        <v>45148</v>
      </c>
      <c r="B453">
        <v>2366.6499020000001</v>
      </c>
      <c r="C453">
        <v>2375.070068</v>
      </c>
      <c r="D453">
        <v>2343.0600589999999</v>
      </c>
      <c r="E453">
        <v>2354.6499020000001</v>
      </c>
      <c r="F453" s="127">
        <v>2354.6499020000001</v>
      </c>
      <c r="G453">
        <v>7004</v>
      </c>
    </row>
    <row r="454" spans="1:7" x14ac:dyDescent="0.3">
      <c r="A454" s="19">
        <v>45149</v>
      </c>
      <c r="B454">
        <v>2337.51001</v>
      </c>
      <c r="C454">
        <v>2364.9399410000001</v>
      </c>
      <c r="D454">
        <v>2337.01001</v>
      </c>
      <c r="E454">
        <v>2353.4799800000001</v>
      </c>
      <c r="F454" s="127">
        <v>2353.4799800000001</v>
      </c>
      <c r="G454">
        <v>13112</v>
      </c>
    </row>
    <row r="455" spans="1:7" x14ac:dyDescent="0.3">
      <c r="A455" s="19">
        <v>45152</v>
      </c>
      <c r="B455">
        <v>2363.8100589999999</v>
      </c>
      <c r="C455">
        <v>2394.969971</v>
      </c>
      <c r="D455">
        <v>2356.929932</v>
      </c>
      <c r="E455">
        <v>2389.98999</v>
      </c>
      <c r="F455" s="127">
        <v>2389.98999</v>
      </c>
      <c r="G455">
        <v>14068</v>
      </c>
    </row>
    <row r="456" spans="1:7" x14ac:dyDescent="0.3">
      <c r="A456" s="19">
        <v>45153</v>
      </c>
      <c r="B456">
        <v>2398.8500979999999</v>
      </c>
      <c r="C456">
        <v>2400</v>
      </c>
      <c r="D456">
        <v>2350.0900879999999</v>
      </c>
      <c r="E456">
        <v>2356.23999</v>
      </c>
      <c r="F456" s="127">
        <v>2356.23999</v>
      </c>
      <c r="G456">
        <v>6341</v>
      </c>
    </row>
    <row r="457" spans="1:7" x14ac:dyDescent="0.3">
      <c r="A457" s="19">
        <v>45154</v>
      </c>
      <c r="B457">
        <v>2344.4499510000001</v>
      </c>
      <c r="C457">
        <v>2344.4499510000001</v>
      </c>
      <c r="D457">
        <v>2314.01001</v>
      </c>
      <c r="E457">
        <v>2314.929932</v>
      </c>
      <c r="F457" s="127">
        <v>2314.929932</v>
      </c>
      <c r="G457">
        <v>13026</v>
      </c>
    </row>
    <row r="458" spans="1:7" x14ac:dyDescent="0.3">
      <c r="A458" s="19">
        <v>45155</v>
      </c>
      <c r="B458">
        <v>2315</v>
      </c>
      <c r="C458">
        <v>2320</v>
      </c>
      <c r="D458">
        <v>2291.959961</v>
      </c>
      <c r="E458">
        <v>2292.9399410000001</v>
      </c>
      <c r="F458" s="127">
        <v>2292.9399410000001</v>
      </c>
      <c r="G458">
        <v>13068</v>
      </c>
    </row>
    <row r="459" spans="1:7" x14ac:dyDescent="0.3">
      <c r="A459" s="19">
        <v>45156</v>
      </c>
      <c r="B459">
        <v>2257</v>
      </c>
      <c r="C459">
        <v>2284.429932</v>
      </c>
      <c r="D459">
        <v>2247</v>
      </c>
      <c r="E459">
        <v>2278.959961</v>
      </c>
      <c r="F459" s="127">
        <v>2278.959961</v>
      </c>
      <c r="G459">
        <v>3537</v>
      </c>
    </row>
    <row r="460" spans="1:7" x14ac:dyDescent="0.3">
      <c r="A460" s="19">
        <v>45159</v>
      </c>
      <c r="B460">
        <v>2289.98999</v>
      </c>
      <c r="C460">
        <v>2300</v>
      </c>
      <c r="D460">
        <v>2265</v>
      </c>
      <c r="E460">
        <v>2291.6899410000001</v>
      </c>
      <c r="F460" s="127">
        <v>2291.6899410000001</v>
      </c>
      <c r="G460">
        <v>2066</v>
      </c>
    </row>
    <row r="461" spans="1:7" x14ac:dyDescent="0.3">
      <c r="A461" s="19">
        <v>45160</v>
      </c>
      <c r="B461">
        <v>2280</v>
      </c>
      <c r="C461">
        <v>2289.0600589999999</v>
      </c>
      <c r="D461">
        <v>2262.26001</v>
      </c>
      <c r="E461">
        <v>2266.25</v>
      </c>
      <c r="F461" s="127">
        <v>2266.25</v>
      </c>
      <c r="G461">
        <v>15865</v>
      </c>
    </row>
    <row r="462" spans="1:7" x14ac:dyDescent="0.3">
      <c r="A462" s="19">
        <v>45161</v>
      </c>
      <c r="B462">
        <v>2268</v>
      </c>
      <c r="C462">
        <v>2284.73999</v>
      </c>
      <c r="D462">
        <v>2257.1999510000001</v>
      </c>
      <c r="E462">
        <v>2269.8500979999999</v>
      </c>
      <c r="F462" s="127">
        <v>2269.8500979999999</v>
      </c>
      <c r="G462">
        <v>5401</v>
      </c>
    </row>
    <row r="463" spans="1:7" x14ac:dyDescent="0.3">
      <c r="A463" s="19">
        <v>45162</v>
      </c>
      <c r="B463">
        <v>2300</v>
      </c>
      <c r="C463">
        <v>2300</v>
      </c>
      <c r="D463">
        <v>2214.01001</v>
      </c>
      <c r="E463">
        <v>2223.969971</v>
      </c>
      <c r="F463" s="127">
        <v>2223.969971</v>
      </c>
      <c r="G463">
        <v>1979</v>
      </c>
    </row>
    <row r="464" spans="1:7" x14ac:dyDescent="0.3">
      <c r="A464" s="19">
        <v>45163</v>
      </c>
      <c r="B464">
        <v>2222.6298830000001</v>
      </c>
      <c r="C464">
        <v>2235</v>
      </c>
      <c r="D464">
        <v>2195</v>
      </c>
      <c r="E464">
        <v>2225.8798830000001</v>
      </c>
      <c r="F464" s="127">
        <v>2225.8798830000001</v>
      </c>
      <c r="G464">
        <v>4438</v>
      </c>
    </row>
    <row r="465" spans="1:7" x14ac:dyDescent="0.3">
      <c r="A465" s="19">
        <v>45166</v>
      </c>
      <c r="B465">
        <v>2230</v>
      </c>
      <c r="C465">
        <v>2230.0500489999999</v>
      </c>
      <c r="D465">
        <v>2205</v>
      </c>
      <c r="E465">
        <v>2228.790039</v>
      </c>
      <c r="F465" s="127">
        <v>2228.790039</v>
      </c>
      <c r="G465">
        <v>5819</v>
      </c>
    </row>
    <row r="466" spans="1:7" x14ac:dyDescent="0.3">
      <c r="A466" s="19">
        <v>45167</v>
      </c>
      <c r="B466">
        <v>2222</v>
      </c>
      <c r="C466">
        <v>2279.959961</v>
      </c>
      <c r="D466">
        <v>2222</v>
      </c>
      <c r="E466">
        <v>2264.3798830000001</v>
      </c>
      <c r="F466" s="127">
        <v>2264.3798830000001</v>
      </c>
      <c r="G466">
        <v>11640</v>
      </c>
    </row>
    <row r="467" spans="1:7" x14ac:dyDescent="0.3">
      <c r="A467" s="19">
        <v>45168</v>
      </c>
      <c r="B467">
        <v>2259.98999</v>
      </c>
      <c r="C467">
        <v>2273.969971</v>
      </c>
      <c r="D467">
        <v>2252.1999510000001</v>
      </c>
      <c r="E467">
        <v>2273.080078</v>
      </c>
      <c r="F467" s="127">
        <v>2273.080078</v>
      </c>
      <c r="G467">
        <v>8439</v>
      </c>
    </row>
    <row r="468" spans="1:7" x14ac:dyDescent="0.3">
      <c r="A468" s="19">
        <v>45169</v>
      </c>
      <c r="B468">
        <v>2273.469971</v>
      </c>
      <c r="C468">
        <v>2360</v>
      </c>
      <c r="D468">
        <v>2273.469971</v>
      </c>
      <c r="E468">
        <v>2349.219971</v>
      </c>
      <c r="F468" s="127">
        <v>2349.219971</v>
      </c>
      <c r="G468">
        <v>73950</v>
      </c>
    </row>
    <row r="469" spans="1:7" x14ac:dyDescent="0.3">
      <c r="A469" s="19">
        <v>45170</v>
      </c>
      <c r="B469">
        <v>2379.959961</v>
      </c>
      <c r="C469">
        <v>2379.959961</v>
      </c>
      <c r="D469">
        <v>2340.1000979999999</v>
      </c>
      <c r="E469">
        <v>2356.290039</v>
      </c>
      <c r="F469" s="127">
        <v>2356.290039</v>
      </c>
      <c r="G469">
        <v>3584</v>
      </c>
    </row>
    <row r="470" spans="1:7" x14ac:dyDescent="0.3">
      <c r="A470" s="19">
        <v>45173</v>
      </c>
      <c r="B470">
        <v>2356.3100589999999</v>
      </c>
      <c r="C470">
        <v>2360</v>
      </c>
      <c r="D470">
        <v>2338</v>
      </c>
      <c r="E470">
        <v>2338</v>
      </c>
      <c r="F470" s="127">
        <v>2338</v>
      </c>
      <c r="G470">
        <v>362</v>
      </c>
    </row>
    <row r="471" spans="1:7" x14ac:dyDescent="0.3">
      <c r="A471" s="19">
        <v>45174</v>
      </c>
      <c r="B471">
        <v>2360</v>
      </c>
      <c r="C471">
        <v>2390</v>
      </c>
      <c r="D471">
        <v>2354.110107</v>
      </c>
      <c r="E471">
        <v>2388.219971</v>
      </c>
      <c r="F471" s="127">
        <v>2388.219971</v>
      </c>
      <c r="G471">
        <v>3450</v>
      </c>
    </row>
    <row r="472" spans="1:7" x14ac:dyDescent="0.3">
      <c r="A472" s="19">
        <v>45175</v>
      </c>
      <c r="B472">
        <v>2385.01001</v>
      </c>
      <c r="C472">
        <v>2400</v>
      </c>
      <c r="D472">
        <v>2365.1201169999999</v>
      </c>
      <c r="E472">
        <v>2381.26001</v>
      </c>
      <c r="F472" s="127">
        <v>2381.26001</v>
      </c>
      <c r="G472">
        <v>9946</v>
      </c>
    </row>
    <row r="473" spans="1:7" x14ac:dyDescent="0.3">
      <c r="A473" s="19">
        <v>45176</v>
      </c>
      <c r="B473">
        <v>2365</v>
      </c>
      <c r="C473">
        <v>2425</v>
      </c>
      <c r="D473">
        <v>2342</v>
      </c>
      <c r="E473">
        <v>2421.5200199999999</v>
      </c>
      <c r="F473" s="127">
        <v>2421.5200199999999</v>
      </c>
      <c r="G473">
        <v>13864</v>
      </c>
    </row>
    <row r="474" spans="1:7" x14ac:dyDescent="0.3">
      <c r="A474" s="19">
        <v>45177</v>
      </c>
      <c r="B474">
        <v>2422</v>
      </c>
      <c r="C474">
        <v>2439.9799800000001</v>
      </c>
      <c r="D474">
        <v>2395</v>
      </c>
      <c r="E474">
        <v>2427.969971</v>
      </c>
      <c r="F474" s="127">
        <v>2427.969971</v>
      </c>
      <c r="G474">
        <v>8390</v>
      </c>
    </row>
    <row r="475" spans="1:7" x14ac:dyDescent="0.3">
      <c r="A475" s="19">
        <v>45180</v>
      </c>
      <c r="B475">
        <v>2449.98999</v>
      </c>
      <c r="C475">
        <v>2482.5</v>
      </c>
      <c r="D475">
        <v>2448.280029</v>
      </c>
      <c r="E475">
        <v>2479.389893</v>
      </c>
      <c r="F475" s="127">
        <v>2479.389893</v>
      </c>
      <c r="G475">
        <v>7953</v>
      </c>
    </row>
    <row r="476" spans="1:7" x14ac:dyDescent="0.3">
      <c r="A476" s="19">
        <v>45181</v>
      </c>
      <c r="B476">
        <v>2465</v>
      </c>
      <c r="C476">
        <v>2465</v>
      </c>
      <c r="D476">
        <v>2430.5</v>
      </c>
      <c r="E476">
        <v>2438.5900879999999</v>
      </c>
      <c r="F476" s="127">
        <v>2438.5900879999999</v>
      </c>
      <c r="G476">
        <v>6991</v>
      </c>
    </row>
    <row r="477" spans="1:7" x14ac:dyDescent="0.3">
      <c r="A477" s="19">
        <v>45182</v>
      </c>
      <c r="B477">
        <v>2427.969971</v>
      </c>
      <c r="C477">
        <v>2480</v>
      </c>
      <c r="D477">
        <v>2427.969971</v>
      </c>
      <c r="E477">
        <v>2477.959961</v>
      </c>
      <c r="F477" s="127">
        <v>2477.959961</v>
      </c>
      <c r="G477">
        <v>5736</v>
      </c>
    </row>
    <row r="478" spans="1:7" x14ac:dyDescent="0.3">
      <c r="A478" s="19">
        <v>45183</v>
      </c>
      <c r="B478">
        <v>2477.959961</v>
      </c>
      <c r="C478">
        <v>2492</v>
      </c>
      <c r="D478">
        <v>2470</v>
      </c>
      <c r="E478">
        <v>2477.25</v>
      </c>
      <c r="F478" s="127">
        <v>2477.25</v>
      </c>
      <c r="G478">
        <v>3180</v>
      </c>
    </row>
    <row r="479" spans="1:7" x14ac:dyDescent="0.3">
      <c r="A479" s="19">
        <v>45184</v>
      </c>
      <c r="B479">
        <v>2470</v>
      </c>
      <c r="C479">
        <v>2470</v>
      </c>
      <c r="D479">
        <v>2393.830078</v>
      </c>
      <c r="E479">
        <v>2396.969971</v>
      </c>
      <c r="F479" s="127">
        <v>2396.969971</v>
      </c>
      <c r="G479">
        <v>5464</v>
      </c>
    </row>
    <row r="480" spans="1:7" x14ac:dyDescent="0.3">
      <c r="A480" s="19">
        <v>45187</v>
      </c>
      <c r="B480">
        <v>2420</v>
      </c>
      <c r="C480">
        <v>2420</v>
      </c>
      <c r="D480">
        <v>2385</v>
      </c>
      <c r="E480">
        <v>2389.6599120000001</v>
      </c>
      <c r="F480" s="127">
        <v>2389.6599120000001</v>
      </c>
      <c r="G480">
        <v>15073</v>
      </c>
    </row>
    <row r="481" spans="1:7" x14ac:dyDescent="0.3">
      <c r="A481" s="19">
        <v>45188</v>
      </c>
      <c r="B481">
        <v>2377.709961</v>
      </c>
      <c r="C481">
        <v>2377.709961</v>
      </c>
      <c r="D481">
        <v>2316.48999</v>
      </c>
      <c r="E481">
        <v>2349.719971</v>
      </c>
      <c r="F481" s="127">
        <v>2349.719971</v>
      </c>
      <c r="G481">
        <v>15564</v>
      </c>
    </row>
    <row r="482" spans="1:7" x14ac:dyDescent="0.3">
      <c r="A482" s="19">
        <v>45189</v>
      </c>
      <c r="B482">
        <v>2351.98999</v>
      </c>
      <c r="C482">
        <v>2352</v>
      </c>
      <c r="D482">
        <v>2310.040039</v>
      </c>
      <c r="E482">
        <v>2314.6999510000001</v>
      </c>
      <c r="F482" s="127">
        <v>2314.6999510000001</v>
      </c>
      <c r="G482">
        <v>6406</v>
      </c>
    </row>
    <row r="483" spans="1:7" x14ac:dyDescent="0.3">
      <c r="A483" s="19">
        <v>45190</v>
      </c>
      <c r="B483">
        <v>2299.9799800000001</v>
      </c>
      <c r="C483">
        <v>2299.9799800000001</v>
      </c>
      <c r="D483">
        <v>2227.679932</v>
      </c>
      <c r="E483">
        <v>2252.0500489999999</v>
      </c>
      <c r="F483" s="127">
        <v>2252.0500489999999</v>
      </c>
      <c r="G483">
        <v>8023</v>
      </c>
    </row>
    <row r="484" spans="1:7" x14ac:dyDescent="0.3">
      <c r="A484" s="19">
        <v>45191</v>
      </c>
      <c r="B484">
        <v>2233</v>
      </c>
      <c r="C484">
        <v>2269.98999</v>
      </c>
      <c r="D484">
        <v>2212.219971</v>
      </c>
      <c r="E484">
        <v>2220.0600589999999</v>
      </c>
      <c r="F484" s="127">
        <v>2220.0600589999999</v>
      </c>
      <c r="G484">
        <v>12295</v>
      </c>
    </row>
    <row r="485" spans="1:7" x14ac:dyDescent="0.3">
      <c r="A485" s="19">
        <v>45194</v>
      </c>
      <c r="B485">
        <v>2217.5</v>
      </c>
      <c r="C485">
        <v>2289.9399410000001</v>
      </c>
      <c r="D485">
        <v>2217.5</v>
      </c>
      <c r="E485">
        <v>2278.9799800000001</v>
      </c>
      <c r="F485" s="127">
        <v>2278.9799800000001</v>
      </c>
      <c r="G485">
        <v>5363</v>
      </c>
    </row>
    <row r="486" spans="1:7" x14ac:dyDescent="0.3">
      <c r="A486" s="19">
        <v>45195</v>
      </c>
      <c r="B486">
        <v>2278.9799800000001</v>
      </c>
      <c r="C486">
        <v>2278.9799800000001</v>
      </c>
      <c r="D486">
        <v>2197</v>
      </c>
      <c r="E486">
        <v>2207.830078</v>
      </c>
      <c r="F486" s="127">
        <v>2207.830078</v>
      </c>
      <c r="G486">
        <v>17093</v>
      </c>
    </row>
    <row r="487" spans="1:7" x14ac:dyDescent="0.3">
      <c r="A487" s="19">
        <v>45196</v>
      </c>
      <c r="B487">
        <v>2211</v>
      </c>
      <c r="C487">
        <v>2241.26001</v>
      </c>
      <c r="D487">
        <v>2190.969971</v>
      </c>
      <c r="E487">
        <v>2228.4399410000001</v>
      </c>
      <c r="F487" s="127">
        <v>2228.4399410000001</v>
      </c>
      <c r="G487">
        <v>8704</v>
      </c>
    </row>
    <row r="488" spans="1:7" x14ac:dyDescent="0.3">
      <c r="A488" s="19">
        <v>45197</v>
      </c>
      <c r="B488">
        <v>2220</v>
      </c>
      <c r="C488">
        <v>2225</v>
      </c>
      <c r="D488">
        <v>2179</v>
      </c>
      <c r="E488">
        <v>2210.76001</v>
      </c>
      <c r="F488" s="127">
        <v>2210.76001</v>
      </c>
      <c r="G488">
        <v>7802</v>
      </c>
    </row>
    <row r="489" spans="1:7" x14ac:dyDescent="0.3">
      <c r="A489" s="19">
        <v>45198</v>
      </c>
      <c r="B489">
        <v>2219</v>
      </c>
      <c r="C489">
        <v>2247</v>
      </c>
      <c r="D489">
        <v>2200.0200199999999</v>
      </c>
      <c r="E489">
        <v>2211.1298830000001</v>
      </c>
      <c r="F489" s="127">
        <v>2211.1298830000001</v>
      </c>
      <c r="G489">
        <v>10832</v>
      </c>
    </row>
    <row r="490" spans="1:7" x14ac:dyDescent="0.3">
      <c r="A490" s="19">
        <v>45201</v>
      </c>
      <c r="B490">
        <v>2253</v>
      </c>
      <c r="C490">
        <v>2285</v>
      </c>
      <c r="D490">
        <v>2244.580078</v>
      </c>
      <c r="E490">
        <v>2279.889893</v>
      </c>
      <c r="F490" s="127">
        <v>2279.889893</v>
      </c>
      <c r="G490">
        <v>10566</v>
      </c>
    </row>
    <row r="491" spans="1:7" x14ac:dyDescent="0.3">
      <c r="A491" s="19">
        <v>45202</v>
      </c>
      <c r="B491">
        <v>2278</v>
      </c>
      <c r="C491">
        <v>2278.3500979999999</v>
      </c>
      <c r="D491">
        <v>2230.01001</v>
      </c>
      <c r="E491">
        <v>2237.1298830000001</v>
      </c>
      <c r="F491" s="127">
        <v>2237.1298830000001</v>
      </c>
      <c r="G491">
        <v>4596</v>
      </c>
    </row>
    <row r="492" spans="1:7" x14ac:dyDescent="0.3">
      <c r="A492" s="19">
        <v>45203</v>
      </c>
      <c r="B492">
        <v>2250.959961</v>
      </c>
      <c r="C492">
        <v>2296</v>
      </c>
      <c r="D492">
        <v>2250.959961</v>
      </c>
      <c r="E492">
        <v>2285.330078</v>
      </c>
      <c r="F492" s="127">
        <v>2285.330078</v>
      </c>
      <c r="G492">
        <v>4686</v>
      </c>
    </row>
    <row r="493" spans="1:7" x14ac:dyDescent="0.3">
      <c r="A493" s="19">
        <v>45204</v>
      </c>
      <c r="B493">
        <v>2265</v>
      </c>
      <c r="C493">
        <v>2305.0200199999999</v>
      </c>
      <c r="D493">
        <v>2260</v>
      </c>
      <c r="E493">
        <v>2295.75</v>
      </c>
      <c r="F493" s="127">
        <v>2295.75</v>
      </c>
      <c r="G493">
        <v>6427</v>
      </c>
    </row>
    <row r="494" spans="1:7" x14ac:dyDescent="0.3">
      <c r="A494" s="19">
        <v>45205</v>
      </c>
      <c r="B494">
        <v>2295</v>
      </c>
      <c r="C494">
        <v>2325</v>
      </c>
      <c r="D494">
        <v>2280.030029</v>
      </c>
      <c r="E494">
        <v>2324.5</v>
      </c>
      <c r="F494" s="127">
        <v>2324.5</v>
      </c>
      <c r="G494">
        <v>3240</v>
      </c>
    </row>
    <row r="495" spans="1:7" x14ac:dyDescent="0.3">
      <c r="A495" s="19">
        <v>45208</v>
      </c>
      <c r="B495">
        <v>2324.5</v>
      </c>
      <c r="C495">
        <v>2346</v>
      </c>
      <c r="D495">
        <v>2278</v>
      </c>
      <c r="E495">
        <v>2328.320068</v>
      </c>
      <c r="F495" s="127">
        <v>2328.320068</v>
      </c>
      <c r="G495">
        <v>4198</v>
      </c>
    </row>
    <row r="496" spans="1:7" x14ac:dyDescent="0.3">
      <c r="A496" s="19">
        <v>45209</v>
      </c>
      <c r="B496">
        <v>2326.4499510000001</v>
      </c>
      <c r="C496">
        <v>2352</v>
      </c>
      <c r="D496">
        <v>2315.830078</v>
      </c>
      <c r="E496">
        <v>2320.6599120000001</v>
      </c>
      <c r="F496" s="127">
        <v>2320.6599120000001</v>
      </c>
      <c r="G496">
        <v>7445</v>
      </c>
    </row>
    <row r="497" spans="1:7" x14ac:dyDescent="0.3">
      <c r="A497" s="19">
        <v>45210</v>
      </c>
      <c r="B497">
        <v>2320.6599120000001</v>
      </c>
      <c r="C497">
        <v>2354</v>
      </c>
      <c r="D497">
        <v>2310.1599120000001</v>
      </c>
      <c r="E497">
        <v>2349.3100589999999</v>
      </c>
      <c r="F497" s="127">
        <v>2349.3100589999999</v>
      </c>
      <c r="G497">
        <v>5144</v>
      </c>
    </row>
    <row r="498" spans="1:7" x14ac:dyDescent="0.3">
      <c r="A498" s="19">
        <v>45211</v>
      </c>
      <c r="B498">
        <v>2351</v>
      </c>
      <c r="C498">
        <v>2417.98999</v>
      </c>
      <c r="D498">
        <v>2351</v>
      </c>
      <c r="E498">
        <v>2377.040039</v>
      </c>
      <c r="F498" s="127">
        <v>2377.040039</v>
      </c>
      <c r="G498">
        <v>8766</v>
      </c>
    </row>
    <row r="499" spans="1:7" x14ac:dyDescent="0.3">
      <c r="A499" s="19">
        <v>45212</v>
      </c>
      <c r="B499">
        <v>2370.01001</v>
      </c>
      <c r="C499">
        <v>2370.6298830000001</v>
      </c>
      <c r="D499">
        <v>2333.360107</v>
      </c>
      <c r="E499">
        <v>2341.919922</v>
      </c>
      <c r="F499" s="127">
        <v>2341.919922</v>
      </c>
      <c r="G499">
        <v>4286</v>
      </c>
    </row>
    <row r="500" spans="1:7" x14ac:dyDescent="0.3">
      <c r="A500" s="19">
        <v>45215</v>
      </c>
      <c r="B500">
        <v>2330.209961</v>
      </c>
      <c r="C500">
        <v>2384.9799800000001</v>
      </c>
      <c r="D500">
        <v>2330.209961</v>
      </c>
      <c r="E500">
        <v>2374.1599120000001</v>
      </c>
      <c r="F500" s="127">
        <v>2374.1599120000001</v>
      </c>
      <c r="G500">
        <v>12876</v>
      </c>
    </row>
    <row r="501" spans="1:7" x14ac:dyDescent="0.3">
      <c r="A501" s="19">
        <v>45216</v>
      </c>
      <c r="B501">
        <v>2370.26001</v>
      </c>
      <c r="C501">
        <v>2373.830078</v>
      </c>
      <c r="D501">
        <v>2330</v>
      </c>
      <c r="E501">
        <v>2364.540039</v>
      </c>
      <c r="F501" s="127">
        <v>2364.540039</v>
      </c>
      <c r="G501">
        <v>6614</v>
      </c>
    </row>
    <row r="502" spans="1:7" x14ac:dyDescent="0.3">
      <c r="A502" s="19">
        <v>45217</v>
      </c>
      <c r="B502">
        <v>2348</v>
      </c>
      <c r="C502">
        <v>2374.459961</v>
      </c>
      <c r="D502">
        <v>2330.1599120000001</v>
      </c>
      <c r="E502">
        <v>2341.6201169999999</v>
      </c>
      <c r="F502" s="127">
        <v>2341.6201169999999</v>
      </c>
      <c r="G502">
        <v>5865</v>
      </c>
    </row>
    <row r="503" spans="1:7" x14ac:dyDescent="0.3">
      <c r="A503" s="19">
        <v>45218</v>
      </c>
      <c r="B503">
        <v>2365.669922</v>
      </c>
      <c r="C503">
        <v>2415</v>
      </c>
      <c r="D503">
        <v>2339.3701169999999</v>
      </c>
      <c r="E503">
        <v>2345.290039</v>
      </c>
      <c r="F503" s="127">
        <v>2345.290039</v>
      </c>
      <c r="G503">
        <v>3564</v>
      </c>
    </row>
    <row r="504" spans="1:7" x14ac:dyDescent="0.3">
      <c r="A504" s="19">
        <v>45219</v>
      </c>
      <c r="B504">
        <v>2322.1599120000001</v>
      </c>
      <c r="C504">
        <v>2322.1599120000001</v>
      </c>
      <c r="D504">
        <v>2283</v>
      </c>
      <c r="E504">
        <v>2286.5600589999999</v>
      </c>
      <c r="F504" s="127">
        <v>2286.5600589999999</v>
      </c>
      <c r="G504">
        <v>8486</v>
      </c>
    </row>
    <row r="505" spans="1:7" x14ac:dyDescent="0.3">
      <c r="A505" s="19">
        <v>45222</v>
      </c>
      <c r="B505">
        <v>2289.9799800000001</v>
      </c>
      <c r="C505">
        <v>2316</v>
      </c>
      <c r="D505">
        <v>2269</v>
      </c>
      <c r="E505">
        <v>2302.540039</v>
      </c>
      <c r="F505" s="127">
        <v>2302.540039</v>
      </c>
      <c r="G505">
        <v>6141</v>
      </c>
    </row>
    <row r="506" spans="1:7" x14ac:dyDescent="0.3">
      <c r="A506" s="19">
        <v>45223</v>
      </c>
      <c r="B506">
        <v>2315.860107</v>
      </c>
      <c r="C506">
        <v>2345.3999020000001</v>
      </c>
      <c r="D506">
        <v>2314</v>
      </c>
      <c r="E506">
        <v>2345.26001</v>
      </c>
      <c r="F506" s="127">
        <v>2345.26001</v>
      </c>
      <c r="G506">
        <v>10454</v>
      </c>
    </row>
    <row r="507" spans="1:7" x14ac:dyDescent="0.3">
      <c r="A507" s="19">
        <v>45224</v>
      </c>
      <c r="B507">
        <v>2306</v>
      </c>
      <c r="C507">
        <v>2306</v>
      </c>
      <c r="D507">
        <v>2219</v>
      </c>
      <c r="E507">
        <v>2225.459961</v>
      </c>
      <c r="F507" s="127">
        <v>2225.459961</v>
      </c>
      <c r="G507">
        <v>9571</v>
      </c>
    </row>
    <row r="508" spans="1:7" x14ac:dyDescent="0.3">
      <c r="A508" s="19">
        <v>45225</v>
      </c>
      <c r="B508">
        <v>2220</v>
      </c>
      <c r="C508">
        <v>2220</v>
      </c>
      <c r="D508">
        <v>2161</v>
      </c>
      <c r="E508">
        <v>2174.540039</v>
      </c>
      <c r="F508" s="127">
        <v>2174.540039</v>
      </c>
      <c r="G508">
        <v>13827</v>
      </c>
    </row>
    <row r="509" spans="1:7" x14ac:dyDescent="0.3">
      <c r="A509" s="19">
        <v>45226</v>
      </c>
      <c r="B509">
        <v>2250</v>
      </c>
      <c r="C509">
        <v>2346</v>
      </c>
      <c r="D509">
        <v>2249.419922</v>
      </c>
      <c r="E509">
        <v>2309.2700199999999</v>
      </c>
      <c r="F509" s="127">
        <v>2309.2700199999999</v>
      </c>
      <c r="G509">
        <v>33767</v>
      </c>
    </row>
    <row r="510" spans="1:7" x14ac:dyDescent="0.3">
      <c r="A510" s="19">
        <v>45229</v>
      </c>
      <c r="B510">
        <v>2309.2700199999999</v>
      </c>
      <c r="C510">
        <v>2398.280029</v>
      </c>
      <c r="D510">
        <v>2309.2700199999999</v>
      </c>
      <c r="E510">
        <v>2395.169922</v>
      </c>
      <c r="F510" s="127">
        <v>2395.169922</v>
      </c>
      <c r="G510">
        <v>11830</v>
      </c>
    </row>
    <row r="511" spans="1:7" x14ac:dyDescent="0.3">
      <c r="A511" s="19">
        <v>45230</v>
      </c>
      <c r="B511">
        <v>2393.6201169999999</v>
      </c>
      <c r="C511">
        <v>2411.1899410000001</v>
      </c>
      <c r="D511">
        <v>2374.7700199999999</v>
      </c>
      <c r="E511">
        <v>2396.1201169999999</v>
      </c>
      <c r="F511" s="127">
        <v>2396.1201169999999</v>
      </c>
      <c r="G511">
        <v>4210</v>
      </c>
    </row>
    <row r="512" spans="1:7" x14ac:dyDescent="0.3">
      <c r="A512" s="19">
        <v>45231</v>
      </c>
      <c r="B512">
        <v>2391</v>
      </c>
      <c r="C512">
        <v>2442</v>
      </c>
      <c r="D512">
        <v>2391</v>
      </c>
      <c r="E512">
        <v>2439.5600589999999</v>
      </c>
      <c r="F512" s="127">
        <v>2439.5600589999999</v>
      </c>
      <c r="G512">
        <v>19305</v>
      </c>
    </row>
    <row r="513" spans="1:7" x14ac:dyDescent="0.3">
      <c r="A513" s="19">
        <v>45233</v>
      </c>
      <c r="B513">
        <v>2430</v>
      </c>
      <c r="C513">
        <v>2430</v>
      </c>
      <c r="D513">
        <v>2395</v>
      </c>
      <c r="E513">
        <v>2419.3400879999999</v>
      </c>
      <c r="F513" s="127">
        <v>2419.3400879999999</v>
      </c>
      <c r="G513">
        <v>7318</v>
      </c>
    </row>
    <row r="514" spans="1:7" x14ac:dyDescent="0.3">
      <c r="A514" s="19">
        <v>45236</v>
      </c>
      <c r="B514">
        <v>2418.280029</v>
      </c>
      <c r="C514">
        <v>2465</v>
      </c>
      <c r="D514">
        <v>2418.280029</v>
      </c>
      <c r="E514">
        <v>2440.179932</v>
      </c>
      <c r="F514" s="127">
        <v>2440.179932</v>
      </c>
      <c r="G514">
        <v>19077</v>
      </c>
    </row>
    <row r="515" spans="1:7" x14ac:dyDescent="0.3">
      <c r="A515" s="19">
        <v>45237</v>
      </c>
      <c r="B515">
        <v>2450</v>
      </c>
      <c r="C515">
        <v>2508</v>
      </c>
      <c r="D515">
        <v>2450</v>
      </c>
      <c r="E515">
        <v>2500</v>
      </c>
      <c r="F515" s="127">
        <v>2500</v>
      </c>
      <c r="G515">
        <v>6654</v>
      </c>
    </row>
    <row r="516" spans="1:7" x14ac:dyDescent="0.3">
      <c r="A516" s="19">
        <v>45238</v>
      </c>
      <c r="B516">
        <v>2500</v>
      </c>
      <c r="C516">
        <v>2500</v>
      </c>
      <c r="D516">
        <v>2467.889893</v>
      </c>
      <c r="E516">
        <v>2487.8999020000001</v>
      </c>
      <c r="F516" s="127">
        <v>2487.8999020000001</v>
      </c>
      <c r="G516">
        <v>5425</v>
      </c>
    </row>
    <row r="517" spans="1:7" x14ac:dyDescent="0.3">
      <c r="A517" s="19">
        <v>45239</v>
      </c>
      <c r="B517">
        <v>2474.1999510000001</v>
      </c>
      <c r="C517">
        <v>2510</v>
      </c>
      <c r="D517">
        <v>2469.7700199999999</v>
      </c>
      <c r="E517">
        <v>2506.4499510000001</v>
      </c>
      <c r="F517" s="127">
        <v>2506.4499510000001</v>
      </c>
      <c r="G517">
        <v>7498</v>
      </c>
    </row>
    <row r="518" spans="1:7" x14ac:dyDescent="0.3">
      <c r="A518" s="19">
        <v>45240</v>
      </c>
      <c r="B518">
        <v>2494.1599120000001</v>
      </c>
      <c r="C518">
        <v>2533</v>
      </c>
      <c r="D518">
        <v>2494.1599120000001</v>
      </c>
      <c r="E518">
        <v>2530.51001</v>
      </c>
      <c r="F518" s="127">
        <v>2530.51001</v>
      </c>
      <c r="G518">
        <v>7585</v>
      </c>
    </row>
    <row r="519" spans="1:7" x14ac:dyDescent="0.3">
      <c r="A519" s="19">
        <v>45243</v>
      </c>
      <c r="B519">
        <v>2500.01001</v>
      </c>
      <c r="C519">
        <v>2519.969971</v>
      </c>
      <c r="D519">
        <v>2490.580078</v>
      </c>
      <c r="E519">
        <v>2505.9499510000001</v>
      </c>
      <c r="F519" s="127">
        <v>2505.9499510000001</v>
      </c>
      <c r="G519">
        <v>9132</v>
      </c>
    </row>
    <row r="520" spans="1:7" x14ac:dyDescent="0.3">
      <c r="A520" s="19">
        <v>45244</v>
      </c>
      <c r="B520">
        <v>2523.98999</v>
      </c>
      <c r="C520">
        <v>2557.3500979999999</v>
      </c>
      <c r="D520">
        <v>2523.98999</v>
      </c>
      <c r="E520">
        <v>2534.639893</v>
      </c>
      <c r="F520" s="127">
        <v>2534.639893</v>
      </c>
      <c r="G520">
        <v>16575</v>
      </c>
    </row>
    <row r="521" spans="1:7" x14ac:dyDescent="0.3">
      <c r="A521" s="19">
        <v>45245</v>
      </c>
      <c r="B521">
        <v>2534.6298830000001</v>
      </c>
      <c r="C521">
        <v>2534.6298830000001</v>
      </c>
      <c r="D521">
        <v>2474.1899410000001</v>
      </c>
      <c r="E521">
        <v>2479.5600589999999</v>
      </c>
      <c r="F521" s="127">
        <v>2479.5600589999999</v>
      </c>
      <c r="G521">
        <v>6271</v>
      </c>
    </row>
    <row r="522" spans="1:7" x14ac:dyDescent="0.3">
      <c r="A522" s="19">
        <v>45246</v>
      </c>
      <c r="B522">
        <v>2445</v>
      </c>
      <c r="C522">
        <v>2479.98999</v>
      </c>
      <c r="D522">
        <v>2415</v>
      </c>
      <c r="E522">
        <v>2463.6599120000001</v>
      </c>
      <c r="F522" s="127">
        <v>2463.6599120000001</v>
      </c>
      <c r="G522">
        <v>6500</v>
      </c>
    </row>
    <row r="523" spans="1:7" x14ac:dyDescent="0.3">
      <c r="A523" s="19">
        <v>45247</v>
      </c>
      <c r="B523">
        <v>2464.75</v>
      </c>
      <c r="C523">
        <v>2504.98999</v>
      </c>
      <c r="D523">
        <v>2464.75</v>
      </c>
      <c r="E523">
        <v>2495.5500489999999</v>
      </c>
      <c r="F523" s="127">
        <v>2495.5500489999999</v>
      </c>
      <c r="G523">
        <v>6821</v>
      </c>
    </row>
    <row r="524" spans="1:7" x14ac:dyDescent="0.3">
      <c r="A524" s="19">
        <v>45251</v>
      </c>
      <c r="B524">
        <v>2485</v>
      </c>
      <c r="C524">
        <v>2485</v>
      </c>
      <c r="D524">
        <v>2435</v>
      </c>
      <c r="E524">
        <v>2469.330078</v>
      </c>
      <c r="F524" s="127">
        <v>2469.330078</v>
      </c>
      <c r="G524">
        <v>13049</v>
      </c>
    </row>
    <row r="525" spans="1:7" x14ac:dyDescent="0.3">
      <c r="A525" s="19">
        <v>45252</v>
      </c>
      <c r="B525">
        <v>2472.4399410000001</v>
      </c>
      <c r="C525">
        <v>2539.959961</v>
      </c>
      <c r="D525">
        <v>2472.4399410000001</v>
      </c>
      <c r="E525">
        <v>2516.76001</v>
      </c>
      <c r="F525" s="127">
        <v>2516.76001</v>
      </c>
      <c r="G525">
        <v>5435</v>
      </c>
    </row>
    <row r="526" spans="1:7" x14ac:dyDescent="0.3">
      <c r="A526" s="19">
        <v>45253</v>
      </c>
      <c r="B526">
        <v>2510</v>
      </c>
      <c r="C526">
        <v>2510</v>
      </c>
      <c r="D526">
        <v>2500</v>
      </c>
      <c r="E526">
        <v>2501.0500489999999</v>
      </c>
      <c r="F526" s="127">
        <v>2501.0500489999999</v>
      </c>
      <c r="G526">
        <v>162</v>
      </c>
    </row>
    <row r="527" spans="1:7" x14ac:dyDescent="0.3">
      <c r="A527" s="19">
        <v>45254</v>
      </c>
      <c r="B527">
        <v>2507.5</v>
      </c>
      <c r="C527">
        <v>2527.01001</v>
      </c>
      <c r="D527">
        <v>2486.5600589999999</v>
      </c>
      <c r="E527">
        <v>2527.01001</v>
      </c>
      <c r="F527" s="127">
        <v>2527.01001</v>
      </c>
      <c r="G527">
        <v>2663</v>
      </c>
    </row>
    <row r="528" spans="1:7" x14ac:dyDescent="0.3">
      <c r="A528" s="19">
        <v>45257</v>
      </c>
      <c r="B528">
        <v>2527.01001</v>
      </c>
      <c r="C528">
        <v>2556</v>
      </c>
      <c r="D528">
        <v>2526.580078</v>
      </c>
      <c r="E528">
        <v>2544.669922</v>
      </c>
      <c r="F528" s="127">
        <v>2544.669922</v>
      </c>
      <c r="G528">
        <v>9871</v>
      </c>
    </row>
    <row r="529" spans="1:7" x14ac:dyDescent="0.3">
      <c r="A529" s="19">
        <v>45258</v>
      </c>
      <c r="B529">
        <v>2535.01001</v>
      </c>
      <c r="C529">
        <v>2535.01001</v>
      </c>
      <c r="D529">
        <v>2509</v>
      </c>
      <c r="E529">
        <v>2517.1999510000001</v>
      </c>
      <c r="F529" s="127">
        <v>2517.1999510000001</v>
      </c>
      <c r="G529">
        <v>5041</v>
      </c>
    </row>
    <row r="530" spans="1:7" x14ac:dyDescent="0.3">
      <c r="A530" s="19">
        <v>45259</v>
      </c>
      <c r="B530">
        <v>2541</v>
      </c>
      <c r="C530">
        <v>2545</v>
      </c>
      <c r="D530">
        <v>2516.5</v>
      </c>
      <c r="E530">
        <v>2538.0200199999999</v>
      </c>
      <c r="F530" s="127">
        <v>2538.0200199999999</v>
      </c>
      <c r="G530">
        <v>8656</v>
      </c>
    </row>
    <row r="531" spans="1:7" x14ac:dyDescent="0.3">
      <c r="A531" s="19">
        <v>45260</v>
      </c>
      <c r="B531">
        <v>2538.0200199999999</v>
      </c>
      <c r="C531">
        <v>2561.98999</v>
      </c>
      <c r="D531">
        <v>2513</v>
      </c>
      <c r="E531">
        <v>2526.73999</v>
      </c>
      <c r="F531" s="127">
        <v>2526.73999</v>
      </c>
      <c r="G531">
        <v>6981</v>
      </c>
    </row>
    <row r="532" spans="1:7" x14ac:dyDescent="0.3">
      <c r="A532" s="19">
        <v>45261</v>
      </c>
      <c r="B532">
        <v>2535</v>
      </c>
      <c r="C532">
        <v>2536.9799800000001</v>
      </c>
      <c r="D532">
        <v>2513.219971</v>
      </c>
      <c r="E532">
        <v>2532</v>
      </c>
      <c r="F532" s="127">
        <v>2532</v>
      </c>
      <c r="G532">
        <v>9628</v>
      </c>
    </row>
    <row r="533" spans="1:7" x14ac:dyDescent="0.3">
      <c r="A533" s="19">
        <v>45264</v>
      </c>
      <c r="B533">
        <v>2529.98999</v>
      </c>
      <c r="C533">
        <v>2533</v>
      </c>
      <c r="D533">
        <v>2488.709961</v>
      </c>
      <c r="E533">
        <v>2529.6999510000001</v>
      </c>
      <c r="F533" s="127">
        <v>2529.6999510000001</v>
      </c>
      <c r="G533">
        <v>14491</v>
      </c>
    </row>
    <row r="534" spans="1:7" x14ac:dyDescent="0.3">
      <c r="A534" s="19">
        <v>45265</v>
      </c>
      <c r="B534">
        <v>2506.9399410000001</v>
      </c>
      <c r="C534">
        <v>2590</v>
      </c>
      <c r="D534">
        <v>2500.8500979999999</v>
      </c>
      <c r="E534">
        <v>2550.75</v>
      </c>
      <c r="F534" s="127">
        <v>2550.75</v>
      </c>
      <c r="G534">
        <v>30248</v>
      </c>
    </row>
    <row r="535" spans="1:7" x14ac:dyDescent="0.3">
      <c r="A535" s="19">
        <v>45266</v>
      </c>
      <c r="B535">
        <v>2529.889893</v>
      </c>
      <c r="C535">
        <v>2529.889893</v>
      </c>
      <c r="D535">
        <v>2494.929932</v>
      </c>
      <c r="E535">
        <v>2500.3000489999999</v>
      </c>
      <c r="F535" s="127">
        <v>2500.3000489999999</v>
      </c>
      <c r="G535">
        <v>9147</v>
      </c>
    </row>
    <row r="536" spans="1:7" x14ac:dyDescent="0.3">
      <c r="A536" s="19">
        <v>45267</v>
      </c>
      <c r="B536">
        <v>2500.01001</v>
      </c>
      <c r="C536">
        <v>2579</v>
      </c>
      <c r="D536">
        <v>2500.01001</v>
      </c>
      <c r="E536">
        <v>2561.8999020000001</v>
      </c>
      <c r="F536" s="127">
        <v>2561.8999020000001</v>
      </c>
      <c r="G536">
        <v>12274</v>
      </c>
    </row>
    <row r="537" spans="1:7" x14ac:dyDescent="0.3">
      <c r="A537" s="19">
        <v>45268</v>
      </c>
      <c r="B537">
        <v>2537</v>
      </c>
      <c r="C537">
        <v>2566</v>
      </c>
      <c r="D537">
        <v>2531.7700199999999</v>
      </c>
      <c r="E537">
        <v>2558.8701169999999</v>
      </c>
      <c r="F537" s="127">
        <v>2558.8701169999999</v>
      </c>
      <c r="G537">
        <v>3497</v>
      </c>
    </row>
    <row r="538" spans="1:7" x14ac:dyDescent="0.3">
      <c r="A538" s="19">
        <v>45271</v>
      </c>
      <c r="B538">
        <v>2560</v>
      </c>
      <c r="C538">
        <v>2560</v>
      </c>
      <c r="D538">
        <v>2515.280029</v>
      </c>
      <c r="E538">
        <v>2548.98999</v>
      </c>
      <c r="F538" s="127">
        <v>2548.98999</v>
      </c>
      <c r="G538">
        <v>3191</v>
      </c>
    </row>
    <row r="539" spans="1:7" x14ac:dyDescent="0.3">
      <c r="A539" s="19">
        <v>45273</v>
      </c>
      <c r="B539">
        <v>2560</v>
      </c>
      <c r="C539">
        <v>2590</v>
      </c>
      <c r="D539">
        <v>2548.780029</v>
      </c>
      <c r="E539">
        <v>2559.5200199999999</v>
      </c>
      <c r="F539" s="127">
        <v>2559.5200199999999</v>
      </c>
      <c r="G539">
        <v>9534</v>
      </c>
    </row>
    <row r="540" spans="1:7" x14ac:dyDescent="0.3">
      <c r="A540" s="19">
        <v>45274</v>
      </c>
      <c r="B540">
        <v>2569.0900879999999</v>
      </c>
      <c r="C540">
        <v>2604.679932</v>
      </c>
      <c r="D540">
        <v>2520</v>
      </c>
      <c r="E540">
        <v>2528.8798830000001</v>
      </c>
      <c r="F540" s="127">
        <v>2528.8798830000001</v>
      </c>
      <c r="G540">
        <v>14177</v>
      </c>
    </row>
    <row r="541" spans="1:7" x14ac:dyDescent="0.3">
      <c r="A541" s="19">
        <v>45275</v>
      </c>
      <c r="B541">
        <v>2528.8798830000001</v>
      </c>
      <c r="C541">
        <v>2587.6999510000001</v>
      </c>
      <c r="D541">
        <v>2528.8798830000001</v>
      </c>
      <c r="E541">
        <v>2585.5200199999999</v>
      </c>
      <c r="F541" s="127">
        <v>2585.5200199999999</v>
      </c>
      <c r="G541">
        <v>11147</v>
      </c>
    </row>
    <row r="542" spans="1:7" x14ac:dyDescent="0.3">
      <c r="A542" s="19">
        <v>45278</v>
      </c>
      <c r="B542">
        <v>2588.3999020000001</v>
      </c>
      <c r="C542">
        <v>2655.5</v>
      </c>
      <c r="D542">
        <v>2588.3999020000001</v>
      </c>
      <c r="E542">
        <v>2654.5</v>
      </c>
      <c r="F542" s="127">
        <v>2654.5</v>
      </c>
      <c r="G542">
        <v>8743</v>
      </c>
    </row>
    <row r="543" spans="1:7" x14ac:dyDescent="0.3">
      <c r="A543" s="19">
        <v>45279</v>
      </c>
      <c r="B543">
        <v>2654.2700199999999</v>
      </c>
      <c r="C543">
        <v>2654.2700199999999</v>
      </c>
      <c r="D543">
        <v>2616.209961</v>
      </c>
      <c r="E543">
        <v>2622.8999020000001</v>
      </c>
      <c r="F543" s="127">
        <v>2622.8999020000001</v>
      </c>
      <c r="G543">
        <v>15676</v>
      </c>
    </row>
    <row r="544" spans="1:7" x14ac:dyDescent="0.3">
      <c r="A544" s="19">
        <v>45280</v>
      </c>
      <c r="B544">
        <v>2623</v>
      </c>
      <c r="C544">
        <v>2649.98999</v>
      </c>
      <c r="D544">
        <v>2602.01001</v>
      </c>
      <c r="E544">
        <v>2611.76001</v>
      </c>
      <c r="F544" s="127">
        <v>2611.76001</v>
      </c>
      <c r="G544">
        <v>14915</v>
      </c>
    </row>
    <row r="545" spans="1:7" x14ac:dyDescent="0.3">
      <c r="A545" s="19">
        <v>45281</v>
      </c>
      <c r="B545">
        <v>2618</v>
      </c>
      <c r="C545">
        <v>2620</v>
      </c>
      <c r="D545">
        <v>2600</v>
      </c>
      <c r="E545">
        <v>2611.429932</v>
      </c>
      <c r="F545" s="127">
        <v>2611.429932</v>
      </c>
      <c r="G545">
        <v>4623</v>
      </c>
    </row>
    <row r="546" spans="1:7" x14ac:dyDescent="0.3">
      <c r="A546" s="19">
        <v>45282</v>
      </c>
      <c r="B546">
        <v>2610.459961</v>
      </c>
      <c r="C546">
        <v>2615.0200199999999</v>
      </c>
      <c r="D546">
        <v>2600</v>
      </c>
      <c r="E546">
        <v>2614.219971</v>
      </c>
      <c r="F546" s="127">
        <v>2614.219971</v>
      </c>
      <c r="G546">
        <v>7417</v>
      </c>
    </row>
    <row r="547" spans="1:7" x14ac:dyDescent="0.3">
      <c r="A547" s="19">
        <v>45286</v>
      </c>
      <c r="B547">
        <v>2614.1999510000001</v>
      </c>
      <c r="C547">
        <v>2614.1999510000001</v>
      </c>
      <c r="D547">
        <v>2595.889893</v>
      </c>
      <c r="E547">
        <v>2605.139893</v>
      </c>
      <c r="F547" s="127">
        <v>2605.139893</v>
      </c>
      <c r="G547">
        <v>105809</v>
      </c>
    </row>
    <row r="548" spans="1:7" x14ac:dyDescent="0.3">
      <c r="A548" s="19">
        <v>45287</v>
      </c>
      <c r="B548">
        <v>2619.969971</v>
      </c>
      <c r="C548">
        <v>2625</v>
      </c>
      <c r="D548">
        <v>2592</v>
      </c>
      <c r="E548">
        <v>2594</v>
      </c>
      <c r="F548" s="127">
        <v>2594</v>
      </c>
      <c r="G548">
        <v>5900</v>
      </c>
    </row>
    <row r="549" spans="1:7" x14ac:dyDescent="0.3">
      <c r="A549" s="19">
        <v>45288</v>
      </c>
      <c r="B549">
        <v>2600</v>
      </c>
      <c r="C549">
        <v>2610</v>
      </c>
      <c r="D549">
        <v>2588.110107</v>
      </c>
      <c r="E549">
        <v>2609.360107</v>
      </c>
      <c r="F549" s="127">
        <v>2609.360107</v>
      </c>
      <c r="G549">
        <v>2766</v>
      </c>
    </row>
    <row r="550" spans="1:7" x14ac:dyDescent="0.3">
      <c r="A550" s="19">
        <v>45289</v>
      </c>
      <c r="B550">
        <v>2604.080078</v>
      </c>
      <c r="C550">
        <v>2608.48999</v>
      </c>
      <c r="D550">
        <v>2558.3798830000001</v>
      </c>
      <c r="E550">
        <v>2581.75</v>
      </c>
      <c r="F550" s="127">
        <v>2581.75</v>
      </c>
      <c r="G550">
        <v>13815</v>
      </c>
    </row>
    <row r="551" spans="1:7" x14ac:dyDescent="0.3">
      <c r="A551" s="19">
        <v>45293</v>
      </c>
      <c r="B551">
        <v>2580</v>
      </c>
      <c r="C551">
        <v>2581.75</v>
      </c>
      <c r="D551">
        <v>2531.719971</v>
      </c>
      <c r="E551">
        <v>2548.919922</v>
      </c>
      <c r="F551" s="127">
        <v>2548.919922</v>
      </c>
      <c r="G551">
        <v>7488</v>
      </c>
    </row>
    <row r="552" spans="1:7" x14ac:dyDescent="0.3">
      <c r="A552" s="19">
        <v>45294</v>
      </c>
      <c r="B552">
        <v>2545</v>
      </c>
      <c r="C552">
        <v>2579.98999</v>
      </c>
      <c r="D552">
        <v>2529</v>
      </c>
      <c r="E552">
        <v>2537.330078</v>
      </c>
      <c r="F552" s="127">
        <v>2537.330078</v>
      </c>
      <c r="G552">
        <v>25751</v>
      </c>
    </row>
    <row r="553" spans="1:7" x14ac:dyDescent="0.3">
      <c r="A553" s="19">
        <v>45295</v>
      </c>
      <c r="B553">
        <v>2500</v>
      </c>
      <c r="C553">
        <v>2511.98999</v>
      </c>
      <c r="D553">
        <v>2461</v>
      </c>
      <c r="E553">
        <v>2462.570068</v>
      </c>
      <c r="F553" s="127">
        <v>2462.570068</v>
      </c>
      <c r="G553">
        <v>7568</v>
      </c>
    </row>
    <row r="554" spans="1:7" x14ac:dyDescent="0.3">
      <c r="A554" s="19">
        <v>45296</v>
      </c>
      <c r="B554">
        <v>2450.25</v>
      </c>
      <c r="C554">
        <v>2489.98999</v>
      </c>
      <c r="D554">
        <v>2446.4499510000001</v>
      </c>
      <c r="E554">
        <v>2446.610107</v>
      </c>
      <c r="F554" s="127">
        <v>2446.610107</v>
      </c>
      <c r="G554">
        <v>13299</v>
      </c>
    </row>
    <row r="555" spans="1:7" x14ac:dyDescent="0.3">
      <c r="A555" s="19">
        <v>45299</v>
      </c>
      <c r="B555">
        <v>2464.9799800000001</v>
      </c>
      <c r="C555">
        <v>2524.9799800000001</v>
      </c>
      <c r="D555">
        <v>2464.9799800000001</v>
      </c>
      <c r="E555">
        <v>2509.8798830000001</v>
      </c>
      <c r="F555" s="127">
        <v>2509.8798830000001</v>
      </c>
      <c r="G555">
        <v>10761</v>
      </c>
    </row>
    <row r="556" spans="1:7" x14ac:dyDescent="0.3">
      <c r="A556" s="19">
        <v>45300</v>
      </c>
      <c r="B556">
        <v>2500.030029</v>
      </c>
      <c r="C556">
        <v>2570</v>
      </c>
      <c r="D556">
        <v>2500.030029</v>
      </c>
      <c r="E556">
        <v>2565.9499510000001</v>
      </c>
      <c r="F556" s="127">
        <v>2565.9499510000001</v>
      </c>
      <c r="G556">
        <v>38083</v>
      </c>
    </row>
    <row r="557" spans="1:7" x14ac:dyDescent="0.3">
      <c r="A557" s="19">
        <v>45301</v>
      </c>
      <c r="B557">
        <v>2600</v>
      </c>
      <c r="C557">
        <v>2624.75</v>
      </c>
      <c r="D557">
        <v>2593.3999020000001</v>
      </c>
      <c r="E557">
        <v>2605.070068</v>
      </c>
      <c r="F557" s="127">
        <v>2605.070068</v>
      </c>
      <c r="G557">
        <v>19880</v>
      </c>
    </row>
    <row r="558" spans="1:7" x14ac:dyDescent="0.3">
      <c r="A558" s="19">
        <v>45302</v>
      </c>
      <c r="B558">
        <v>2630</v>
      </c>
      <c r="C558">
        <v>2666.48999</v>
      </c>
      <c r="D558">
        <v>2600.0200199999999</v>
      </c>
      <c r="E558">
        <v>2620.919922</v>
      </c>
      <c r="F558" s="127">
        <v>2620.919922</v>
      </c>
      <c r="G558">
        <v>21341</v>
      </c>
    </row>
    <row r="559" spans="1:7" x14ac:dyDescent="0.3">
      <c r="A559" s="19">
        <v>45303</v>
      </c>
      <c r="B559">
        <v>2619</v>
      </c>
      <c r="C559">
        <v>2631</v>
      </c>
      <c r="D559">
        <v>2600</v>
      </c>
      <c r="E559">
        <v>2601.280029</v>
      </c>
      <c r="F559" s="127">
        <v>2601.280029</v>
      </c>
      <c r="G559">
        <v>67968</v>
      </c>
    </row>
    <row r="560" spans="1:7" x14ac:dyDescent="0.3">
      <c r="A560" s="19">
        <v>45306</v>
      </c>
      <c r="B560">
        <v>2613</v>
      </c>
      <c r="C560">
        <v>2613</v>
      </c>
      <c r="D560">
        <v>2575.2700199999999</v>
      </c>
      <c r="E560">
        <v>2595.98999</v>
      </c>
      <c r="F560" s="127">
        <v>2595.98999</v>
      </c>
      <c r="G560">
        <v>168</v>
      </c>
    </row>
    <row r="561" spans="1:7" x14ac:dyDescent="0.3">
      <c r="A561" s="19">
        <v>45307</v>
      </c>
      <c r="B561">
        <v>2600</v>
      </c>
      <c r="C561">
        <v>2646</v>
      </c>
      <c r="D561">
        <v>2600</v>
      </c>
      <c r="E561">
        <v>2633.780029</v>
      </c>
      <c r="F561" s="127">
        <v>2633.780029</v>
      </c>
      <c r="G561">
        <v>20408</v>
      </c>
    </row>
    <row r="562" spans="1:7" x14ac:dyDescent="0.3">
      <c r="A562" s="19">
        <v>45308</v>
      </c>
      <c r="B562">
        <v>2634.459961</v>
      </c>
      <c r="C562">
        <v>2634.459961</v>
      </c>
      <c r="D562">
        <v>2590.01001</v>
      </c>
      <c r="E562">
        <v>2609.01001</v>
      </c>
      <c r="F562" s="127">
        <v>2609.01001</v>
      </c>
      <c r="G562">
        <v>7771</v>
      </c>
    </row>
    <row r="563" spans="1:7" x14ac:dyDescent="0.3">
      <c r="A563" s="19">
        <v>45309</v>
      </c>
      <c r="B563">
        <v>2634</v>
      </c>
      <c r="C563">
        <v>2643.080078</v>
      </c>
      <c r="D563">
        <v>2619.76001</v>
      </c>
      <c r="E563">
        <v>2636.26001</v>
      </c>
      <c r="F563" s="127">
        <v>2636.26001</v>
      </c>
      <c r="G563">
        <v>16854</v>
      </c>
    </row>
    <row r="564" spans="1:7" x14ac:dyDescent="0.3">
      <c r="A564" s="19">
        <v>45310</v>
      </c>
      <c r="B564">
        <v>2643.98999</v>
      </c>
      <c r="C564">
        <v>2663.3701169999999</v>
      </c>
      <c r="D564">
        <v>2623.959961</v>
      </c>
      <c r="E564">
        <v>2655.040039</v>
      </c>
      <c r="F564" s="127">
        <v>2655.040039</v>
      </c>
      <c r="G564">
        <v>8417</v>
      </c>
    </row>
    <row r="565" spans="1:7" x14ac:dyDescent="0.3">
      <c r="A565" s="19">
        <v>45313</v>
      </c>
      <c r="B565">
        <v>2663</v>
      </c>
      <c r="C565">
        <v>2670</v>
      </c>
      <c r="D565">
        <v>2638.01001</v>
      </c>
      <c r="E565">
        <v>2655.73999</v>
      </c>
      <c r="F565" s="127">
        <v>2655.73999</v>
      </c>
      <c r="G565">
        <v>3748</v>
      </c>
    </row>
    <row r="566" spans="1:7" x14ac:dyDescent="0.3">
      <c r="A566" s="19">
        <v>45314</v>
      </c>
      <c r="B566">
        <v>2670</v>
      </c>
      <c r="C566">
        <v>2704.959961</v>
      </c>
      <c r="D566">
        <v>2670</v>
      </c>
      <c r="E566">
        <v>2700.9399410000001</v>
      </c>
      <c r="F566" s="127">
        <v>2700.9399410000001</v>
      </c>
      <c r="G566">
        <v>7613</v>
      </c>
    </row>
    <row r="567" spans="1:7" x14ac:dyDescent="0.3">
      <c r="A567" s="19">
        <v>45315</v>
      </c>
      <c r="B567">
        <v>2717</v>
      </c>
      <c r="C567">
        <v>2726.98999</v>
      </c>
      <c r="D567">
        <v>2695</v>
      </c>
      <c r="E567">
        <v>2706.040039</v>
      </c>
      <c r="F567" s="127">
        <v>2706.040039</v>
      </c>
      <c r="G567">
        <v>31456</v>
      </c>
    </row>
    <row r="568" spans="1:7" x14ac:dyDescent="0.3">
      <c r="A568" s="19">
        <v>45316</v>
      </c>
      <c r="B568">
        <v>2700.01001</v>
      </c>
      <c r="C568">
        <v>2730</v>
      </c>
      <c r="D568">
        <v>2666</v>
      </c>
      <c r="E568">
        <v>2707.030029</v>
      </c>
      <c r="F568" s="127">
        <v>2707.030029</v>
      </c>
      <c r="G568">
        <v>7562</v>
      </c>
    </row>
    <row r="569" spans="1:7" x14ac:dyDescent="0.3">
      <c r="A569" s="19">
        <v>45317</v>
      </c>
      <c r="B569">
        <v>2715</v>
      </c>
      <c r="C569">
        <v>2757</v>
      </c>
      <c r="D569">
        <v>2715</v>
      </c>
      <c r="E569">
        <v>2729.2299800000001</v>
      </c>
      <c r="F569" s="127">
        <v>2729.2299800000001</v>
      </c>
      <c r="G569">
        <v>17569</v>
      </c>
    </row>
    <row r="570" spans="1:7" x14ac:dyDescent="0.3">
      <c r="A570" s="19">
        <v>45320</v>
      </c>
      <c r="B570">
        <v>2735</v>
      </c>
      <c r="C570">
        <v>2778.98999</v>
      </c>
      <c r="D570">
        <v>2735</v>
      </c>
      <c r="E570">
        <v>2770.6599120000001</v>
      </c>
      <c r="F570" s="127">
        <v>2770.6599120000001</v>
      </c>
      <c r="G570">
        <v>9393</v>
      </c>
    </row>
    <row r="571" spans="1:7" x14ac:dyDescent="0.3">
      <c r="A571" s="19">
        <v>45321</v>
      </c>
      <c r="B571">
        <v>2776.929932</v>
      </c>
      <c r="C571">
        <v>2786.959961</v>
      </c>
      <c r="D571">
        <v>2722.030029</v>
      </c>
      <c r="E571">
        <v>2728.1499020000001</v>
      </c>
      <c r="F571" s="127">
        <v>2728.1499020000001</v>
      </c>
      <c r="G571">
        <v>9205</v>
      </c>
    </row>
    <row r="572" spans="1:7" x14ac:dyDescent="0.3">
      <c r="A572" s="19">
        <v>45322</v>
      </c>
      <c r="B572">
        <v>2701.1201169999999</v>
      </c>
      <c r="C572">
        <v>2711.3999020000001</v>
      </c>
      <c r="D572">
        <v>2669.9499510000001</v>
      </c>
      <c r="E572">
        <v>2672.75</v>
      </c>
      <c r="F572" s="127">
        <v>2672.75</v>
      </c>
      <c r="G572">
        <v>15199</v>
      </c>
    </row>
    <row r="573" spans="1:7" x14ac:dyDescent="0.3">
      <c r="A573" s="19">
        <v>45323</v>
      </c>
      <c r="B573">
        <v>2700</v>
      </c>
      <c r="C573">
        <v>2722.5</v>
      </c>
      <c r="D573">
        <v>2685</v>
      </c>
      <c r="E573">
        <v>2715.25</v>
      </c>
      <c r="F573" s="127">
        <v>2715.25</v>
      </c>
      <c r="G573">
        <v>9133</v>
      </c>
    </row>
    <row r="574" spans="1:7" x14ac:dyDescent="0.3">
      <c r="A574" s="19">
        <v>45324</v>
      </c>
      <c r="B574">
        <v>2885</v>
      </c>
      <c r="C574">
        <v>2958</v>
      </c>
      <c r="D574">
        <v>2866.679932</v>
      </c>
      <c r="E574">
        <v>2940.3500979999999</v>
      </c>
      <c r="F574" s="127">
        <v>2940.3500979999999</v>
      </c>
      <c r="G574">
        <v>44917</v>
      </c>
    </row>
    <row r="575" spans="1:7" x14ac:dyDescent="0.3">
      <c r="A575" s="19">
        <v>45328</v>
      </c>
      <c r="B575">
        <v>2925</v>
      </c>
      <c r="C575">
        <v>2925</v>
      </c>
      <c r="D575">
        <v>2851.01001</v>
      </c>
      <c r="E575">
        <v>2878.8798830000001</v>
      </c>
      <c r="F575" s="127">
        <v>2878.8798830000001</v>
      </c>
      <c r="G575">
        <v>10330</v>
      </c>
    </row>
    <row r="576" spans="1:7" x14ac:dyDescent="0.3">
      <c r="A576" s="19">
        <v>45329</v>
      </c>
      <c r="B576">
        <v>2884.6000979999999</v>
      </c>
      <c r="C576">
        <v>2916</v>
      </c>
      <c r="D576">
        <v>2884.6000979999999</v>
      </c>
      <c r="E576">
        <v>2910.6599120000001</v>
      </c>
      <c r="F576" s="127">
        <v>2910.6599120000001</v>
      </c>
      <c r="G576">
        <v>18523</v>
      </c>
    </row>
    <row r="577" spans="1:7" x14ac:dyDescent="0.3">
      <c r="A577" s="19">
        <v>45330</v>
      </c>
      <c r="B577">
        <v>2912</v>
      </c>
      <c r="C577">
        <v>2934.969971</v>
      </c>
      <c r="D577">
        <v>2903.4799800000001</v>
      </c>
      <c r="E577">
        <v>2914.73999</v>
      </c>
      <c r="F577" s="127">
        <v>2914.73999</v>
      </c>
      <c r="G577">
        <v>15550</v>
      </c>
    </row>
    <row r="578" spans="1:7" x14ac:dyDescent="0.3">
      <c r="A578" s="19">
        <v>45331</v>
      </c>
      <c r="B578">
        <v>2928.820068</v>
      </c>
      <c r="C578">
        <v>2991.01001</v>
      </c>
      <c r="D578">
        <v>2915.030029</v>
      </c>
      <c r="E578">
        <v>2981.610107</v>
      </c>
      <c r="F578" s="127">
        <v>2981.610107</v>
      </c>
      <c r="G578">
        <v>10300</v>
      </c>
    </row>
    <row r="579" spans="1:7" x14ac:dyDescent="0.3">
      <c r="A579" s="19">
        <v>45334</v>
      </c>
      <c r="B579">
        <v>2985.98999</v>
      </c>
      <c r="C579">
        <v>2999.889893</v>
      </c>
      <c r="D579">
        <v>2938.679932</v>
      </c>
      <c r="E579">
        <v>2946.6201169999999</v>
      </c>
      <c r="F579" s="127">
        <v>2946.6201169999999</v>
      </c>
      <c r="G579">
        <v>9116</v>
      </c>
    </row>
    <row r="580" spans="1:7" x14ac:dyDescent="0.3">
      <c r="A580" s="19">
        <v>45335</v>
      </c>
      <c r="B580">
        <v>2900</v>
      </c>
      <c r="C580">
        <v>2945.98999</v>
      </c>
      <c r="D580">
        <v>2854</v>
      </c>
      <c r="E580">
        <v>2900.889893</v>
      </c>
      <c r="F580" s="127">
        <v>2900.889893</v>
      </c>
      <c r="G580">
        <v>9559</v>
      </c>
    </row>
    <row r="581" spans="1:7" x14ac:dyDescent="0.3">
      <c r="A581" s="19">
        <v>45336</v>
      </c>
      <c r="B581">
        <v>2900</v>
      </c>
      <c r="C581">
        <v>2923.070068</v>
      </c>
      <c r="D581">
        <v>2883.5200199999999</v>
      </c>
      <c r="E581">
        <v>2920.429932</v>
      </c>
      <c r="F581" s="127">
        <v>2920.429932</v>
      </c>
      <c r="G581">
        <v>24251</v>
      </c>
    </row>
    <row r="582" spans="1:7" x14ac:dyDescent="0.3">
      <c r="A582" s="19">
        <v>45337</v>
      </c>
      <c r="B582">
        <v>2921.25</v>
      </c>
      <c r="C582">
        <v>2921.25</v>
      </c>
      <c r="D582">
        <v>2866.98999</v>
      </c>
      <c r="E582">
        <v>2894.9399410000001</v>
      </c>
      <c r="F582" s="127">
        <v>2894.9399410000001</v>
      </c>
      <c r="G582">
        <v>30775</v>
      </c>
    </row>
    <row r="583" spans="1:7" x14ac:dyDescent="0.3">
      <c r="A583" s="19">
        <v>45338</v>
      </c>
      <c r="B583">
        <v>2858.01001</v>
      </c>
      <c r="C583">
        <v>2904.98999</v>
      </c>
      <c r="D583">
        <v>2851.530029</v>
      </c>
      <c r="E583">
        <v>2890.5</v>
      </c>
      <c r="F583" s="127">
        <v>2890.5</v>
      </c>
      <c r="G583">
        <v>2993</v>
      </c>
    </row>
    <row r="584" spans="1:7" x14ac:dyDescent="0.3">
      <c r="A584" s="19">
        <v>45341</v>
      </c>
      <c r="B584">
        <v>2890</v>
      </c>
      <c r="C584">
        <v>2890</v>
      </c>
      <c r="D584">
        <v>2855</v>
      </c>
      <c r="E584">
        <v>2879.9799800000001</v>
      </c>
      <c r="F584" s="127">
        <v>2879.9799800000001</v>
      </c>
      <c r="G584">
        <v>242</v>
      </c>
    </row>
    <row r="585" spans="1:7" x14ac:dyDescent="0.3">
      <c r="A585" s="19">
        <v>45342</v>
      </c>
      <c r="B585">
        <v>2850</v>
      </c>
      <c r="C585">
        <v>2855.179932</v>
      </c>
      <c r="D585">
        <v>2828.929932</v>
      </c>
      <c r="E585">
        <v>2848.1499020000001</v>
      </c>
      <c r="F585" s="127">
        <v>2848.1499020000001</v>
      </c>
      <c r="G585">
        <v>21301</v>
      </c>
    </row>
    <row r="586" spans="1:7" x14ac:dyDescent="0.3">
      <c r="A586" s="19">
        <v>45343</v>
      </c>
      <c r="B586">
        <v>2870</v>
      </c>
      <c r="C586">
        <v>2904.9099120000001</v>
      </c>
      <c r="D586">
        <v>2852.290039</v>
      </c>
      <c r="E586">
        <v>2871.290039</v>
      </c>
      <c r="F586" s="127">
        <v>2871.290039</v>
      </c>
      <c r="G586">
        <v>13105</v>
      </c>
    </row>
    <row r="587" spans="1:7" x14ac:dyDescent="0.3">
      <c r="A587" s="19">
        <v>45344</v>
      </c>
      <c r="B587">
        <v>2910</v>
      </c>
      <c r="C587">
        <v>2987.98999</v>
      </c>
      <c r="D587">
        <v>2910</v>
      </c>
      <c r="E587">
        <v>2986.25</v>
      </c>
      <c r="F587" s="127">
        <v>2986.25</v>
      </c>
      <c r="G587">
        <v>7824</v>
      </c>
    </row>
    <row r="588" spans="1:7" x14ac:dyDescent="0.3">
      <c r="A588" s="19">
        <v>45345</v>
      </c>
      <c r="B588">
        <v>2990</v>
      </c>
      <c r="C588">
        <v>3009</v>
      </c>
      <c r="D588">
        <v>2975.5500489999999</v>
      </c>
      <c r="E588">
        <v>2996.6499020000001</v>
      </c>
      <c r="F588" s="127">
        <v>2996.6499020000001</v>
      </c>
      <c r="G588">
        <v>11441</v>
      </c>
    </row>
    <row r="589" spans="1:7" x14ac:dyDescent="0.3">
      <c r="A589" s="19">
        <v>45348</v>
      </c>
      <c r="B589">
        <v>2996.6999510000001</v>
      </c>
      <c r="C589">
        <v>3011.9799800000001</v>
      </c>
      <c r="D589">
        <v>2981.5900879999999</v>
      </c>
      <c r="E589">
        <v>2983.3100589999999</v>
      </c>
      <c r="F589" s="127">
        <v>2983.3100589999999</v>
      </c>
      <c r="G589">
        <v>9890</v>
      </c>
    </row>
    <row r="590" spans="1:7" x14ac:dyDescent="0.3">
      <c r="A590" s="19">
        <v>45349</v>
      </c>
      <c r="B590">
        <v>2969</v>
      </c>
      <c r="C590">
        <v>2977.4799800000001</v>
      </c>
      <c r="D590">
        <v>2949.5</v>
      </c>
      <c r="E590">
        <v>2960.0900879999999</v>
      </c>
      <c r="F590" s="127">
        <v>2960.0900879999999</v>
      </c>
      <c r="G590">
        <v>8125</v>
      </c>
    </row>
    <row r="591" spans="1:7" x14ac:dyDescent="0.3">
      <c r="A591" s="19">
        <v>45350</v>
      </c>
      <c r="B591">
        <v>2956</v>
      </c>
      <c r="C591">
        <v>2974.98999</v>
      </c>
      <c r="D591">
        <v>2956</v>
      </c>
      <c r="E591">
        <v>2957.8100589999999</v>
      </c>
      <c r="F591" s="127">
        <v>2957.8100589999999</v>
      </c>
      <c r="G591">
        <v>12628</v>
      </c>
    </row>
    <row r="592" spans="1:7" x14ac:dyDescent="0.3">
      <c r="A592" s="19">
        <v>45351</v>
      </c>
      <c r="B592">
        <v>2957.8100589999999</v>
      </c>
      <c r="C592">
        <v>3013.6899410000001</v>
      </c>
      <c r="D592">
        <v>2955</v>
      </c>
      <c r="E592">
        <v>2992.9099120000001</v>
      </c>
      <c r="F592" s="127">
        <v>2992.9099120000001</v>
      </c>
      <c r="G592">
        <v>17540</v>
      </c>
    </row>
    <row r="593" spans="1:7" x14ac:dyDescent="0.3">
      <c r="A593" s="19">
        <v>45352</v>
      </c>
      <c r="B593">
        <v>2999</v>
      </c>
      <c r="C593">
        <v>3040</v>
      </c>
      <c r="D593">
        <v>2999</v>
      </c>
      <c r="E593">
        <v>3036.3999020000001</v>
      </c>
      <c r="F593" s="127">
        <v>3036.3999020000001</v>
      </c>
      <c r="G593">
        <v>16446</v>
      </c>
    </row>
    <row r="594" spans="1:7" x14ac:dyDescent="0.3">
      <c r="A594" s="19">
        <v>45355</v>
      </c>
      <c r="B594">
        <v>3028</v>
      </c>
      <c r="C594">
        <v>3062.969971</v>
      </c>
      <c r="D594">
        <v>3010.280029</v>
      </c>
      <c r="E594">
        <v>3015.860107</v>
      </c>
      <c r="F594" s="127">
        <v>3015.860107</v>
      </c>
      <c r="G594">
        <v>4544</v>
      </c>
    </row>
    <row r="595" spans="1:7" x14ac:dyDescent="0.3">
      <c r="A595" s="19">
        <v>45356</v>
      </c>
      <c r="B595">
        <v>2999.98999</v>
      </c>
      <c r="C595">
        <v>2999.98999</v>
      </c>
      <c r="D595">
        <v>2938.8000489999999</v>
      </c>
      <c r="E595">
        <v>2946.9799800000001</v>
      </c>
      <c r="F595" s="127">
        <v>2946.9799800000001</v>
      </c>
      <c r="G595">
        <v>9900</v>
      </c>
    </row>
    <row r="596" spans="1:7" x14ac:dyDescent="0.3">
      <c r="A596" s="19">
        <v>45357</v>
      </c>
      <c r="B596">
        <v>2946.9799800000001</v>
      </c>
      <c r="C596">
        <v>2969.98999</v>
      </c>
      <c r="D596">
        <v>2925.030029</v>
      </c>
      <c r="E596">
        <v>2939.23999</v>
      </c>
      <c r="F596" s="127">
        <v>2939.23999</v>
      </c>
      <c r="G596">
        <v>5272</v>
      </c>
    </row>
    <row r="597" spans="1:7" x14ac:dyDescent="0.3">
      <c r="A597" s="19">
        <v>45358</v>
      </c>
      <c r="B597">
        <v>2949</v>
      </c>
      <c r="C597">
        <v>2998</v>
      </c>
      <c r="D597">
        <v>2949</v>
      </c>
      <c r="E597">
        <v>2992.419922</v>
      </c>
      <c r="F597" s="127">
        <v>2992.419922</v>
      </c>
      <c r="G597">
        <v>4097</v>
      </c>
    </row>
    <row r="598" spans="1:7" x14ac:dyDescent="0.3">
      <c r="A598" s="19">
        <v>45359</v>
      </c>
      <c r="B598">
        <v>2992.419922</v>
      </c>
      <c r="C598">
        <v>2998</v>
      </c>
      <c r="D598">
        <v>2930.0200199999999</v>
      </c>
      <c r="E598">
        <v>2946.6599120000001</v>
      </c>
      <c r="F598" s="127">
        <v>2946.6599120000001</v>
      </c>
      <c r="G598">
        <v>10984</v>
      </c>
    </row>
    <row r="599" spans="1:7" x14ac:dyDescent="0.3">
      <c r="A599" s="19">
        <v>45362</v>
      </c>
      <c r="B599">
        <v>2946.6599120000001</v>
      </c>
      <c r="C599">
        <v>2946.6599120000001</v>
      </c>
      <c r="D599">
        <v>2888.6499020000001</v>
      </c>
      <c r="E599">
        <v>2891.8400879999999</v>
      </c>
      <c r="F599" s="127">
        <v>2891.8400879999999</v>
      </c>
      <c r="G599">
        <v>3982</v>
      </c>
    </row>
    <row r="600" spans="1:7" x14ac:dyDescent="0.3">
      <c r="A600" s="19">
        <v>45363</v>
      </c>
      <c r="B600">
        <v>2903.429932</v>
      </c>
      <c r="C600">
        <v>2988.98999</v>
      </c>
      <c r="D600">
        <v>2903.429932</v>
      </c>
      <c r="E600">
        <v>2952.48999</v>
      </c>
      <c r="F600" s="127">
        <v>2952.48999</v>
      </c>
      <c r="G600">
        <v>24223</v>
      </c>
    </row>
    <row r="601" spans="1:7" x14ac:dyDescent="0.3">
      <c r="A601" s="19">
        <v>45364</v>
      </c>
      <c r="B601">
        <v>2949.3100589999999</v>
      </c>
      <c r="C601">
        <v>2965.3000489999999</v>
      </c>
      <c r="D601">
        <v>2941.1298830000001</v>
      </c>
      <c r="E601">
        <v>2947.070068</v>
      </c>
      <c r="F601" s="127">
        <v>2947.070068</v>
      </c>
      <c r="G601">
        <v>5662</v>
      </c>
    </row>
    <row r="602" spans="1:7" x14ac:dyDescent="0.3">
      <c r="A602" s="19">
        <v>45365</v>
      </c>
      <c r="B602">
        <v>2960</v>
      </c>
      <c r="C602">
        <v>3000</v>
      </c>
      <c r="D602">
        <v>2960</v>
      </c>
      <c r="E602">
        <v>2972.2700199999999</v>
      </c>
      <c r="F602" s="127">
        <v>2972.2700199999999</v>
      </c>
      <c r="G602">
        <v>2593</v>
      </c>
    </row>
    <row r="603" spans="1:7" x14ac:dyDescent="0.3">
      <c r="A603" s="19">
        <v>45366</v>
      </c>
      <c r="B603">
        <v>2960.110107</v>
      </c>
      <c r="C603">
        <v>2960.110107</v>
      </c>
      <c r="D603">
        <v>2905.01001</v>
      </c>
      <c r="E603">
        <v>2924.4799800000001</v>
      </c>
      <c r="F603" s="127">
        <v>2924.4799800000001</v>
      </c>
      <c r="G603">
        <v>6485</v>
      </c>
    </row>
    <row r="604" spans="1:7" x14ac:dyDescent="0.3">
      <c r="A604" s="19">
        <v>45370</v>
      </c>
      <c r="B604">
        <v>2930</v>
      </c>
      <c r="C604">
        <v>2969.959961</v>
      </c>
      <c r="D604">
        <v>2930</v>
      </c>
      <c r="E604">
        <v>2955.459961</v>
      </c>
      <c r="F604" s="127">
        <v>2955.459961</v>
      </c>
      <c r="G604">
        <v>3642</v>
      </c>
    </row>
    <row r="605" spans="1:7" x14ac:dyDescent="0.3">
      <c r="A605" s="19">
        <v>45371</v>
      </c>
      <c r="B605">
        <v>2963.959961</v>
      </c>
      <c r="C605">
        <v>2979.6599120000001</v>
      </c>
      <c r="D605">
        <v>2929.0200199999999</v>
      </c>
      <c r="E605">
        <v>2970.080078</v>
      </c>
      <c r="F605" s="127">
        <v>2970.080078</v>
      </c>
      <c r="G605">
        <v>4504</v>
      </c>
    </row>
    <row r="606" spans="1:7" x14ac:dyDescent="0.3">
      <c r="A606" s="19">
        <v>45372</v>
      </c>
      <c r="B606">
        <v>2996</v>
      </c>
      <c r="C606">
        <v>3031.1999510000001</v>
      </c>
      <c r="D606">
        <v>2980.3500979999999</v>
      </c>
      <c r="E606">
        <v>2980.3500979999999</v>
      </c>
      <c r="F606" s="127">
        <v>2980.3500979999999</v>
      </c>
      <c r="G606">
        <v>8138</v>
      </c>
    </row>
    <row r="607" spans="1:7" x14ac:dyDescent="0.3">
      <c r="A607" s="19">
        <v>45373</v>
      </c>
      <c r="B607">
        <v>2965.4499510000001</v>
      </c>
      <c r="C607">
        <v>3004.9799800000001</v>
      </c>
      <c r="D607">
        <v>2964</v>
      </c>
      <c r="E607">
        <v>2995.48999</v>
      </c>
      <c r="F607" s="127">
        <v>2995.48999</v>
      </c>
      <c r="G607">
        <v>12290</v>
      </c>
    </row>
    <row r="608" spans="1:7" x14ac:dyDescent="0.3">
      <c r="A608" s="19">
        <v>45376</v>
      </c>
      <c r="B608">
        <v>2995</v>
      </c>
      <c r="C608">
        <v>3017.429932</v>
      </c>
      <c r="D608">
        <v>2990</v>
      </c>
      <c r="E608">
        <v>3002.040039</v>
      </c>
      <c r="F608" s="127">
        <v>3002.040039</v>
      </c>
      <c r="G608">
        <v>11269</v>
      </c>
    </row>
    <row r="609" spans="1:7" x14ac:dyDescent="0.3">
      <c r="A609" s="19">
        <v>45377</v>
      </c>
      <c r="B609">
        <v>3000</v>
      </c>
      <c r="C609">
        <v>3008.969971</v>
      </c>
      <c r="D609">
        <v>2960.669922</v>
      </c>
      <c r="E609">
        <v>2969.4399410000001</v>
      </c>
      <c r="F609" s="127">
        <v>2969.4399410000001</v>
      </c>
      <c r="G609">
        <v>5812</v>
      </c>
    </row>
    <row r="610" spans="1:7" x14ac:dyDescent="0.3">
      <c r="A610" s="19">
        <v>45378</v>
      </c>
      <c r="B610">
        <v>2965.01001</v>
      </c>
      <c r="C610">
        <v>2978.8999020000001</v>
      </c>
      <c r="D610">
        <v>2946.01001</v>
      </c>
      <c r="E610">
        <v>2977.570068</v>
      </c>
      <c r="F610" s="127">
        <v>2977.570068</v>
      </c>
      <c r="G610">
        <v>7793</v>
      </c>
    </row>
    <row r="611" spans="1:7" x14ac:dyDescent="0.3">
      <c r="A611" s="19">
        <v>45383</v>
      </c>
      <c r="B611">
        <v>2977.580078</v>
      </c>
      <c r="C611">
        <v>3020</v>
      </c>
      <c r="D611">
        <v>2977.580078</v>
      </c>
      <c r="E611">
        <v>3006.820068</v>
      </c>
      <c r="F611" s="127">
        <v>3006.820068</v>
      </c>
      <c r="G611">
        <v>13072</v>
      </c>
    </row>
    <row r="612" spans="1:7" x14ac:dyDescent="0.3">
      <c r="A612" s="19">
        <v>45384</v>
      </c>
      <c r="B612">
        <v>2998.610107</v>
      </c>
      <c r="C612">
        <v>2998.610107</v>
      </c>
      <c r="D612">
        <v>2968.0500489999999</v>
      </c>
      <c r="E612">
        <v>2991.8999020000001</v>
      </c>
      <c r="F612" s="127">
        <v>2991.8999020000001</v>
      </c>
      <c r="G612">
        <v>15442</v>
      </c>
    </row>
    <row r="613" spans="1:7" x14ac:dyDescent="0.3">
      <c r="A613" s="19">
        <v>45385</v>
      </c>
      <c r="B613">
        <v>2991.8999020000001</v>
      </c>
      <c r="C613">
        <v>3025.25</v>
      </c>
      <c r="D613">
        <v>2991.8999020000001</v>
      </c>
      <c r="E613">
        <v>3013.01001</v>
      </c>
      <c r="F613" s="127">
        <v>3013.01001</v>
      </c>
      <c r="G613">
        <v>3423</v>
      </c>
    </row>
    <row r="614" spans="1:7" x14ac:dyDescent="0.3">
      <c r="A614" s="19">
        <v>45386</v>
      </c>
      <c r="B614">
        <v>3033</v>
      </c>
      <c r="C614">
        <v>3056.6499020000001</v>
      </c>
      <c r="D614">
        <v>2990</v>
      </c>
      <c r="E614">
        <v>2999.709961</v>
      </c>
      <c r="F614" s="127">
        <v>2999.709961</v>
      </c>
      <c r="G614">
        <v>9885</v>
      </c>
    </row>
    <row r="615" spans="1:7" x14ac:dyDescent="0.3">
      <c r="A615" s="19">
        <v>45387</v>
      </c>
      <c r="B615">
        <v>2990</v>
      </c>
      <c r="C615">
        <v>3066.98999</v>
      </c>
      <c r="D615">
        <v>2990</v>
      </c>
      <c r="E615">
        <v>3047.929932</v>
      </c>
      <c r="F615" s="127">
        <v>3047.929932</v>
      </c>
      <c r="G615">
        <v>26039</v>
      </c>
    </row>
    <row r="616" spans="1:7" x14ac:dyDescent="0.3">
      <c r="A616" s="19">
        <v>45390</v>
      </c>
      <c r="B616">
        <v>3060.3500979999999</v>
      </c>
      <c r="C616">
        <v>3060.3500979999999</v>
      </c>
      <c r="D616">
        <v>3019.0500489999999</v>
      </c>
      <c r="E616">
        <v>3037.679932</v>
      </c>
      <c r="F616" s="127">
        <v>3037.679932</v>
      </c>
      <c r="G616">
        <v>5337</v>
      </c>
    </row>
    <row r="617" spans="1:7" x14ac:dyDescent="0.3">
      <c r="A617" s="19">
        <v>45391</v>
      </c>
      <c r="B617">
        <v>3036.3999020000001</v>
      </c>
      <c r="C617">
        <v>3045</v>
      </c>
      <c r="D617">
        <v>3023.280029</v>
      </c>
      <c r="E617">
        <v>3040.4799800000001</v>
      </c>
      <c r="F617" s="127">
        <v>3040.4799800000001</v>
      </c>
      <c r="G617">
        <v>5217</v>
      </c>
    </row>
    <row r="618" spans="1:7" x14ac:dyDescent="0.3">
      <c r="A618" s="19">
        <v>45392</v>
      </c>
      <c r="B618">
        <v>3010</v>
      </c>
      <c r="C618">
        <v>3060</v>
      </c>
      <c r="D618">
        <v>3010</v>
      </c>
      <c r="E618">
        <v>3053.8701169999999</v>
      </c>
      <c r="F618" s="127">
        <v>3053.8701169999999</v>
      </c>
      <c r="G618">
        <v>9900</v>
      </c>
    </row>
    <row r="619" spans="1:7" x14ac:dyDescent="0.3">
      <c r="A619" s="19">
        <v>45393</v>
      </c>
      <c r="B619">
        <v>3050.6599120000001</v>
      </c>
      <c r="C619">
        <v>3119.98999</v>
      </c>
      <c r="D619">
        <v>3050.6599120000001</v>
      </c>
      <c r="E619">
        <v>3115.9099120000001</v>
      </c>
      <c r="F619" s="127">
        <v>3115.9099120000001</v>
      </c>
      <c r="G619">
        <v>5807</v>
      </c>
    </row>
    <row r="620" spans="1:7" x14ac:dyDescent="0.3">
      <c r="A620" s="19">
        <v>45394</v>
      </c>
      <c r="B620">
        <v>3115</v>
      </c>
      <c r="C620">
        <v>3130</v>
      </c>
      <c r="D620">
        <v>3081</v>
      </c>
      <c r="E620">
        <v>3096.070068</v>
      </c>
      <c r="F620" s="127">
        <v>3096.070068</v>
      </c>
      <c r="G620">
        <v>4426</v>
      </c>
    </row>
    <row r="621" spans="1:7" x14ac:dyDescent="0.3">
      <c r="A621" s="19">
        <v>45397</v>
      </c>
      <c r="B621">
        <v>3099.9499510000001</v>
      </c>
      <c r="C621">
        <v>3147.8000489999999</v>
      </c>
      <c r="D621">
        <v>3060.6899410000001</v>
      </c>
      <c r="E621">
        <v>3067.5</v>
      </c>
      <c r="F621" s="127">
        <v>3067.5</v>
      </c>
      <c r="G621">
        <v>2892</v>
      </c>
    </row>
    <row r="622" spans="1:7" x14ac:dyDescent="0.3">
      <c r="A622" s="19">
        <v>45398</v>
      </c>
      <c r="B622">
        <v>3100</v>
      </c>
      <c r="C622">
        <v>3145.5</v>
      </c>
      <c r="D622">
        <v>3100</v>
      </c>
      <c r="E622">
        <v>3126.419922</v>
      </c>
      <c r="F622" s="127">
        <v>3126.419922</v>
      </c>
      <c r="G622">
        <v>5192</v>
      </c>
    </row>
    <row r="623" spans="1:7" x14ac:dyDescent="0.3">
      <c r="A623" s="19">
        <v>45399</v>
      </c>
      <c r="B623">
        <v>3115</v>
      </c>
      <c r="C623">
        <v>3139.98999</v>
      </c>
      <c r="D623">
        <v>3064.209961</v>
      </c>
      <c r="E623">
        <v>3072.01001</v>
      </c>
      <c r="F623" s="127">
        <v>3072.01001</v>
      </c>
      <c r="G623">
        <v>1746</v>
      </c>
    </row>
    <row r="624" spans="1:7" x14ac:dyDescent="0.3">
      <c r="A624" s="19">
        <v>45400</v>
      </c>
      <c r="B624">
        <v>3072.030029</v>
      </c>
      <c r="C624">
        <v>3116.9799800000001</v>
      </c>
      <c r="D624">
        <v>3055.330078</v>
      </c>
      <c r="E624">
        <v>3060.6599120000001</v>
      </c>
      <c r="F624" s="127">
        <v>3060.6599120000001</v>
      </c>
      <c r="G624">
        <v>7752</v>
      </c>
    </row>
    <row r="625" spans="1:7" x14ac:dyDescent="0.3">
      <c r="A625" s="19">
        <v>45401</v>
      </c>
      <c r="B625">
        <v>3050</v>
      </c>
      <c r="C625">
        <v>3062.01001</v>
      </c>
      <c r="D625">
        <v>2972.1000979999999</v>
      </c>
      <c r="E625">
        <v>2982.4499510000001</v>
      </c>
      <c r="F625" s="127">
        <v>2982.4499510000001</v>
      </c>
      <c r="G625">
        <v>7029</v>
      </c>
    </row>
    <row r="626" spans="1:7" x14ac:dyDescent="0.3">
      <c r="A626" s="19">
        <v>45404</v>
      </c>
      <c r="B626">
        <v>3000</v>
      </c>
      <c r="C626">
        <v>3079.9799800000001</v>
      </c>
      <c r="D626">
        <v>2993</v>
      </c>
      <c r="E626">
        <v>3033.98999</v>
      </c>
      <c r="F626" s="127">
        <v>3033.98999</v>
      </c>
      <c r="G626">
        <v>12116</v>
      </c>
    </row>
    <row r="627" spans="1:7" x14ac:dyDescent="0.3">
      <c r="A627" s="19">
        <v>45405</v>
      </c>
      <c r="B627">
        <v>3075</v>
      </c>
      <c r="C627">
        <v>3079.969971</v>
      </c>
      <c r="D627">
        <v>3010.0500489999999</v>
      </c>
      <c r="E627">
        <v>3048.26001</v>
      </c>
      <c r="F627" s="127">
        <v>3048.26001</v>
      </c>
      <c r="G627">
        <v>9148</v>
      </c>
    </row>
    <row r="628" spans="1:7" x14ac:dyDescent="0.3">
      <c r="A628" s="19">
        <v>45406</v>
      </c>
      <c r="B628">
        <v>3050.01001</v>
      </c>
      <c r="C628">
        <v>3073.4799800000001</v>
      </c>
      <c r="D628">
        <v>3012</v>
      </c>
      <c r="E628">
        <v>3019.820068</v>
      </c>
      <c r="F628" s="127">
        <v>3019.820068</v>
      </c>
      <c r="G628">
        <v>20579</v>
      </c>
    </row>
    <row r="629" spans="1:7" x14ac:dyDescent="0.3">
      <c r="A629" s="19">
        <v>45407</v>
      </c>
      <c r="B629">
        <v>2980.929932</v>
      </c>
      <c r="C629">
        <v>2990</v>
      </c>
      <c r="D629">
        <v>2900</v>
      </c>
      <c r="E629">
        <v>2984.6999510000001</v>
      </c>
      <c r="F629" s="127">
        <v>2984.6999510000001</v>
      </c>
      <c r="G629">
        <v>5804</v>
      </c>
    </row>
    <row r="630" spans="1:7" x14ac:dyDescent="0.3">
      <c r="A630" s="19">
        <v>45408</v>
      </c>
      <c r="B630">
        <v>2990.0200199999999</v>
      </c>
      <c r="C630">
        <v>3099.9799800000001</v>
      </c>
      <c r="D630">
        <v>2990.0200199999999</v>
      </c>
      <c r="E630">
        <v>3079.389893</v>
      </c>
      <c r="F630" s="127">
        <v>3079.389893</v>
      </c>
      <c r="G630">
        <v>6986</v>
      </c>
    </row>
    <row r="631" spans="1:7" x14ac:dyDescent="0.3">
      <c r="A631" s="19">
        <v>45411</v>
      </c>
      <c r="B631">
        <v>3100</v>
      </c>
      <c r="C631">
        <v>3120</v>
      </c>
      <c r="D631">
        <v>3056.6000979999999</v>
      </c>
      <c r="E631">
        <v>3075.3798830000001</v>
      </c>
      <c r="F631" s="127">
        <v>3075.3798830000001</v>
      </c>
      <c r="G631">
        <v>6760</v>
      </c>
    </row>
    <row r="632" spans="1:7" x14ac:dyDescent="0.3">
      <c r="A632" s="19">
        <v>45412</v>
      </c>
      <c r="B632">
        <v>3084</v>
      </c>
      <c r="C632">
        <v>3100</v>
      </c>
      <c r="D632">
        <v>3005.51001</v>
      </c>
      <c r="E632">
        <v>3067.929932</v>
      </c>
      <c r="F632" s="127">
        <v>3067.929932</v>
      </c>
      <c r="G632">
        <v>76390</v>
      </c>
    </row>
    <row r="633" spans="1:7" x14ac:dyDescent="0.3">
      <c r="A633" s="19">
        <v>45414</v>
      </c>
      <c r="B633">
        <v>3052.5900879999999</v>
      </c>
      <c r="C633">
        <v>3140</v>
      </c>
      <c r="D633">
        <v>3050</v>
      </c>
      <c r="E633">
        <v>3135.3999020000001</v>
      </c>
      <c r="F633" s="127">
        <v>3135.3999020000001</v>
      </c>
      <c r="G633">
        <v>19031</v>
      </c>
    </row>
    <row r="634" spans="1:7" x14ac:dyDescent="0.3">
      <c r="A634" s="19">
        <v>45415</v>
      </c>
      <c r="B634">
        <v>3135.4099120000001</v>
      </c>
      <c r="C634">
        <v>3186</v>
      </c>
      <c r="D634">
        <v>3135.4099120000001</v>
      </c>
      <c r="E634">
        <v>3159.110107</v>
      </c>
      <c r="F634" s="127">
        <v>3159.110107</v>
      </c>
      <c r="G634">
        <v>28203</v>
      </c>
    </row>
    <row r="635" spans="1:7" x14ac:dyDescent="0.3">
      <c r="A635" s="19">
        <v>45418</v>
      </c>
      <c r="B635">
        <v>3159.1999510000001</v>
      </c>
      <c r="C635">
        <v>3175.9799800000001</v>
      </c>
      <c r="D635">
        <v>3127.1000979999999</v>
      </c>
      <c r="E635">
        <v>3171.419922</v>
      </c>
      <c r="F635" s="127">
        <v>3171.419922</v>
      </c>
      <c r="G635">
        <v>12707</v>
      </c>
    </row>
    <row r="636" spans="1:7" x14ac:dyDescent="0.3">
      <c r="A636" s="19">
        <v>45419</v>
      </c>
      <c r="B636">
        <v>3186</v>
      </c>
      <c r="C636">
        <v>3209.98999</v>
      </c>
      <c r="D636">
        <v>3171.419922</v>
      </c>
      <c r="E636">
        <v>3181.98999</v>
      </c>
      <c r="F636" s="127">
        <v>3181.98999</v>
      </c>
      <c r="G636">
        <v>4026</v>
      </c>
    </row>
    <row r="637" spans="1:7" x14ac:dyDescent="0.3">
      <c r="A637" s="19">
        <v>45420</v>
      </c>
      <c r="B637">
        <v>3185</v>
      </c>
      <c r="C637">
        <v>3189.9799800000001</v>
      </c>
      <c r="D637">
        <v>3158.6899410000001</v>
      </c>
      <c r="E637">
        <v>3174.3701169999999</v>
      </c>
      <c r="F637" s="127">
        <v>3174.3701169999999</v>
      </c>
      <c r="G637">
        <v>2719</v>
      </c>
    </row>
    <row r="638" spans="1:7" x14ac:dyDescent="0.3">
      <c r="A638" s="19">
        <v>45421</v>
      </c>
      <c r="B638">
        <v>3185</v>
      </c>
      <c r="C638">
        <v>3229</v>
      </c>
      <c r="D638">
        <v>3170.209961</v>
      </c>
      <c r="E638">
        <v>3181.5</v>
      </c>
      <c r="F638" s="127">
        <v>3181.5</v>
      </c>
      <c r="G638">
        <v>15825</v>
      </c>
    </row>
    <row r="639" spans="1:7" x14ac:dyDescent="0.3">
      <c r="A639" s="19">
        <v>45422</v>
      </c>
      <c r="B639">
        <v>3176</v>
      </c>
      <c r="C639">
        <v>3176</v>
      </c>
      <c r="D639">
        <v>3134.889893</v>
      </c>
      <c r="E639">
        <v>3149.610107</v>
      </c>
      <c r="F639" s="127">
        <v>3149.610107</v>
      </c>
      <c r="G639">
        <v>20602</v>
      </c>
    </row>
    <row r="640" spans="1:7" x14ac:dyDescent="0.3">
      <c r="A640" s="19">
        <v>45425</v>
      </c>
      <c r="B640">
        <v>3128.1298830000001</v>
      </c>
      <c r="C640">
        <v>3150</v>
      </c>
      <c r="D640">
        <v>3115.01001</v>
      </c>
      <c r="E640">
        <v>3130.1000979999999</v>
      </c>
      <c r="F640" s="127">
        <v>3130.1000979999999</v>
      </c>
      <c r="G640">
        <v>6724</v>
      </c>
    </row>
    <row r="641" spans="1:7" x14ac:dyDescent="0.3">
      <c r="A641" s="19">
        <v>45426</v>
      </c>
      <c r="B641">
        <v>3129.98999</v>
      </c>
      <c r="C641">
        <v>3160.25</v>
      </c>
      <c r="D641">
        <v>3100</v>
      </c>
      <c r="E641">
        <v>3152.3100589999999</v>
      </c>
      <c r="F641" s="127">
        <v>3152.3100589999999</v>
      </c>
      <c r="G641">
        <v>16162</v>
      </c>
    </row>
    <row r="642" spans="1:7" x14ac:dyDescent="0.3">
      <c r="A642" s="19">
        <v>45427</v>
      </c>
      <c r="B642">
        <v>3150</v>
      </c>
      <c r="C642">
        <v>3150</v>
      </c>
      <c r="D642">
        <v>3050</v>
      </c>
      <c r="E642">
        <v>3103.830078</v>
      </c>
      <c r="F642" s="127">
        <v>3103.830078</v>
      </c>
      <c r="G642">
        <v>12100</v>
      </c>
    </row>
    <row r="643" spans="1:7" x14ac:dyDescent="0.3">
      <c r="A643" s="19">
        <v>45428</v>
      </c>
      <c r="B643">
        <v>3100</v>
      </c>
      <c r="C643">
        <v>3122</v>
      </c>
      <c r="D643">
        <v>3059</v>
      </c>
      <c r="E643">
        <v>3061.080078</v>
      </c>
      <c r="F643" s="127">
        <v>3061.080078</v>
      </c>
      <c r="G643">
        <v>11374</v>
      </c>
    </row>
    <row r="644" spans="1:7" x14ac:dyDescent="0.3">
      <c r="A644" s="19">
        <v>45429</v>
      </c>
      <c r="B644">
        <v>3076.3798830000001</v>
      </c>
      <c r="C644">
        <v>3081.330078</v>
      </c>
      <c r="D644">
        <v>3057.679932</v>
      </c>
      <c r="E644">
        <v>3064.610107</v>
      </c>
      <c r="F644" s="127">
        <v>3064.610107</v>
      </c>
      <c r="G644">
        <v>3571</v>
      </c>
    </row>
    <row r="645" spans="1:7" x14ac:dyDescent="0.3">
      <c r="A645" s="19">
        <v>45432</v>
      </c>
      <c r="B645">
        <v>3060.0200199999999</v>
      </c>
      <c r="C645">
        <v>3090</v>
      </c>
      <c r="D645">
        <v>3033.3400879999999</v>
      </c>
      <c r="E645">
        <v>3037.9799800000001</v>
      </c>
      <c r="F645" s="127">
        <v>3037.9799800000001</v>
      </c>
      <c r="G645">
        <v>4052</v>
      </c>
    </row>
    <row r="646" spans="1:7" x14ac:dyDescent="0.3">
      <c r="A646" s="19">
        <v>45433</v>
      </c>
      <c r="B646">
        <v>3040</v>
      </c>
      <c r="C646">
        <v>3048.98999</v>
      </c>
      <c r="D646">
        <v>2988.9099120000001</v>
      </c>
      <c r="E646">
        <v>3044.8000489999999</v>
      </c>
      <c r="F646" s="127">
        <v>3044.8000489999999</v>
      </c>
      <c r="G646">
        <v>7377</v>
      </c>
    </row>
    <row r="647" spans="1:7" x14ac:dyDescent="0.3">
      <c r="A647" s="19">
        <v>45434</v>
      </c>
      <c r="B647">
        <v>3049</v>
      </c>
      <c r="C647">
        <v>3074.9799800000001</v>
      </c>
      <c r="D647">
        <v>3035.51001</v>
      </c>
      <c r="E647">
        <v>3040.9799800000001</v>
      </c>
      <c r="F647" s="127">
        <v>3040.9799800000001</v>
      </c>
      <c r="G647">
        <v>4317</v>
      </c>
    </row>
    <row r="648" spans="1:7" x14ac:dyDescent="0.3">
      <c r="A648" s="19">
        <v>45435</v>
      </c>
      <c r="B648">
        <v>3062.820068</v>
      </c>
      <c r="C648">
        <v>3077.9799800000001</v>
      </c>
      <c r="D648">
        <v>3014.030029</v>
      </c>
      <c r="E648">
        <v>3025.6298830000001</v>
      </c>
      <c r="F648" s="127">
        <v>3025.6298830000001</v>
      </c>
      <c r="G648">
        <v>7442</v>
      </c>
    </row>
    <row r="649" spans="1:7" x14ac:dyDescent="0.3">
      <c r="A649" s="19">
        <v>45436</v>
      </c>
      <c r="B649">
        <v>3025.6298830000001</v>
      </c>
      <c r="C649">
        <v>3045</v>
      </c>
      <c r="D649">
        <v>3012.540039</v>
      </c>
      <c r="E649">
        <v>3015.4099120000001</v>
      </c>
      <c r="F649" s="127">
        <v>3015.4099120000001</v>
      </c>
      <c r="G649">
        <v>2046</v>
      </c>
    </row>
    <row r="650" spans="1:7" x14ac:dyDescent="0.3">
      <c r="A650" s="19">
        <v>45439</v>
      </c>
      <c r="B650">
        <v>3030.4799800000001</v>
      </c>
      <c r="C650">
        <v>3030.4799800000001</v>
      </c>
      <c r="D650">
        <v>2985.9799800000001</v>
      </c>
      <c r="E650">
        <v>3004</v>
      </c>
      <c r="F650" s="127">
        <v>3004</v>
      </c>
      <c r="G650">
        <v>623</v>
      </c>
    </row>
    <row r="651" spans="1:7" x14ac:dyDescent="0.3">
      <c r="A651" s="19">
        <v>45440</v>
      </c>
      <c r="B651">
        <v>3044</v>
      </c>
      <c r="C651">
        <v>3057.679932</v>
      </c>
      <c r="D651">
        <v>2999</v>
      </c>
      <c r="E651">
        <v>3053.51001</v>
      </c>
      <c r="F651" s="127">
        <v>3053.51001</v>
      </c>
      <c r="G651">
        <v>2471</v>
      </c>
    </row>
    <row r="652" spans="1:7" x14ac:dyDescent="0.3">
      <c r="A652" s="19">
        <v>45441</v>
      </c>
      <c r="B652">
        <v>3057.679932</v>
      </c>
      <c r="C652">
        <v>3115</v>
      </c>
      <c r="D652">
        <v>3057.679932</v>
      </c>
      <c r="E652">
        <v>3084.830078</v>
      </c>
      <c r="F652" s="127">
        <v>3084.830078</v>
      </c>
      <c r="G652">
        <v>10158</v>
      </c>
    </row>
    <row r="653" spans="1:7" x14ac:dyDescent="0.3">
      <c r="A653" s="19">
        <v>45442</v>
      </c>
      <c r="B653">
        <v>3081</v>
      </c>
      <c r="C653">
        <v>3081</v>
      </c>
      <c r="D653">
        <v>3027.3701169999999</v>
      </c>
      <c r="E653">
        <v>3037.7299800000001</v>
      </c>
      <c r="F653" s="127">
        <v>3037.7299800000001</v>
      </c>
      <c r="G653">
        <v>5374</v>
      </c>
    </row>
    <row r="654" spans="1:7" x14ac:dyDescent="0.3">
      <c r="A654" s="19">
        <v>45443</v>
      </c>
      <c r="B654">
        <v>3022.080078</v>
      </c>
      <c r="C654">
        <v>3022.540039</v>
      </c>
      <c r="D654">
        <v>2955.01001</v>
      </c>
      <c r="E654">
        <v>2979.040039</v>
      </c>
      <c r="F654" s="127">
        <v>2979.040039</v>
      </c>
      <c r="G654">
        <v>10995</v>
      </c>
    </row>
    <row r="655" spans="1:7" x14ac:dyDescent="0.3">
      <c r="A655" s="19">
        <v>45446</v>
      </c>
      <c r="B655">
        <v>3002.6000979999999</v>
      </c>
      <c r="C655">
        <v>3155</v>
      </c>
      <c r="D655">
        <v>3002.6000979999999</v>
      </c>
      <c r="E655">
        <v>3137.8999020000001</v>
      </c>
      <c r="F655" s="127">
        <v>3137.8999020000001</v>
      </c>
      <c r="G655">
        <v>18767</v>
      </c>
    </row>
    <row r="656" spans="1:7" x14ac:dyDescent="0.3">
      <c r="A656" s="19">
        <v>45447</v>
      </c>
      <c r="B656">
        <v>3159</v>
      </c>
      <c r="C656">
        <v>3213</v>
      </c>
      <c r="D656">
        <v>3139.280029</v>
      </c>
      <c r="E656">
        <v>3203.6499020000001</v>
      </c>
      <c r="F656" s="127">
        <v>3203.6499020000001</v>
      </c>
      <c r="G656">
        <v>25605</v>
      </c>
    </row>
    <row r="657" spans="1:7" x14ac:dyDescent="0.3">
      <c r="A657" s="19">
        <v>45448</v>
      </c>
      <c r="B657">
        <v>3200</v>
      </c>
      <c r="C657">
        <v>3200</v>
      </c>
      <c r="D657">
        <v>3156</v>
      </c>
      <c r="E657">
        <v>3181.419922</v>
      </c>
      <c r="F657" s="127">
        <v>3181.419922</v>
      </c>
      <c r="G657">
        <v>21422</v>
      </c>
    </row>
    <row r="658" spans="1:7" x14ac:dyDescent="0.3">
      <c r="A658" s="19">
        <v>45449</v>
      </c>
      <c r="B658">
        <v>3181.419922</v>
      </c>
      <c r="C658">
        <v>3318.98999</v>
      </c>
      <c r="D658">
        <v>3181.419922</v>
      </c>
      <c r="E658">
        <v>3300.780029</v>
      </c>
      <c r="F658" s="127">
        <v>3300.780029</v>
      </c>
      <c r="G658">
        <v>12711</v>
      </c>
    </row>
    <row r="659" spans="1:7" x14ac:dyDescent="0.3">
      <c r="A659" s="19">
        <v>45450</v>
      </c>
      <c r="B659">
        <v>3292.25</v>
      </c>
      <c r="C659">
        <v>3418</v>
      </c>
      <c r="D659">
        <v>3290</v>
      </c>
      <c r="E659">
        <v>3386.1899410000001</v>
      </c>
      <c r="F659" s="127">
        <v>3386.1899410000001</v>
      </c>
      <c r="G659">
        <v>26520</v>
      </c>
    </row>
    <row r="660" spans="1:7" x14ac:dyDescent="0.3">
      <c r="A660" s="19">
        <v>45453</v>
      </c>
      <c r="B660">
        <v>3386</v>
      </c>
      <c r="C660">
        <v>3445.139893</v>
      </c>
      <c r="D660">
        <v>3386</v>
      </c>
      <c r="E660">
        <v>3418.639893</v>
      </c>
      <c r="F660" s="127">
        <v>3418.639893</v>
      </c>
      <c r="G660">
        <v>9809</v>
      </c>
    </row>
    <row r="661" spans="1:7" x14ac:dyDescent="0.3">
      <c r="A661" s="19">
        <v>45454</v>
      </c>
      <c r="B661">
        <v>3420</v>
      </c>
      <c r="C661">
        <v>3460</v>
      </c>
      <c r="D661">
        <v>3401.1201169999999</v>
      </c>
      <c r="E661">
        <v>3455.6499020000001</v>
      </c>
      <c r="F661" s="127">
        <v>3455.6499020000001</v>
      </c>
      <c r="G661">
        <v>11729</v>
      </c>
    </row>
    <row r="662" spans="1:7" x14ac:dyDescent="0.3">
      <c r="A662" s="19">
        <v>45455</v>
      </c>
      <c r="B662">
        <v>3500</v>
      </c>
      <c r="C662">
        <v>3558.110107</v>
      </c>
      <c r="D662">
        <v>3476.1599120000001</v>
      </c>
      <c r="E662">
        <v>3506.51001</v>
      </c>
      <c r="F662" s="127">
        <v>3506.51001</v>
      </c>
      <c r="G662">
        <v>15920</v>
      </c>
    </row>
    <row r="663" spans="1:7" x14ac:dyDescent="0.3">
      <c r="A663" s="19">
        <v>45456</v>
      </c>
      <c r="B663">
        <v>3452</v>
      </c>
      <c r="C663">
        <v>3489.98999</v>
      </c>
      <c r="D663">
        <v>3388.5600589999999</v>
      </c>
      <c r="E663">
        <v>3395.3500979999999</v>
      </c>
      <c r="F663" s="127">
        <v>3395.3500979999999</v>
      </c>
      <c r="G663">
        <v>18140</v>
      </c>
    </row>
    <row r="664" spans="1:7" x14ac:dyDescent="0.3">
      <c r="A664" s="19">
        <v>45457</v>
      </c>
      <c r="B664">
        <v>3397.290039</v>
      </c>
      <c r="C664">
        <v>3409.9099120000001</v>
      </c>
      <c r="D664">
        <v>3365.8400879999999</v>
      </c>
      <c r="E664">
        <v>3380.6000979999999</v>
      </c>
      <c r="F664" s="127">
        <v>3380.6000979999999</v>
      </c>
      <c r="G664">
        <v>24144</v>
      </c>
    </row>
    <row r="665" spans="1:7" x14ac:dyDescent="0.3">
      <c r="A665" s="19">
        <v>45460</v>
      </c>
      <c r="B665">
        <v>3391.860107</v>
      </c>
      <c r="C665">
        <v>3432.040039</v>
      </c>
      <c r="D665">
        <v>3356.110107</v>
      </c>
      <c r="E665">
        <v>3427.4799800000001</v>
      </c>
      <c r="F665" s="127">
        <v>3427.4799800000001</v>
      </c>
      <c r="G665">
        <v>17202</v>
      </c>
    </row>
    <row r="666" spans="1:7" x14ac:dyDescent="0.3">
      <c r="A666" s="19">
        <v>45461</v>
      </c>
      <c r="B666">
        <v>3382.3798830000001</v>
      </c>
      <c r="C666">
        <v>3406.9499510000001</v>
      </c>
      <c r="D666">
        <v>3337.2700199999999</v>
      </c>
      <c r="E666">
        <v>3362.51001</v>
      </c>
      <c r="F666" s="127">
        <v>3362.51001</v>
      </c>
      <c r="G666">
        <v>31498</v>
      </c>
    </row>
    <row r="667" spans="1:7" x14ac:dyDescent="0.3">
      <c r="A667" s="19">
        <v>45462</v>
      </c>
      <c r="B667">
        <v>3360</v>
      </c>
      <c r="C667">
        <v>3370</v>
      </c>
      <c r="D667">
        <v>3360</v>
      </c>
      <c r="E667">
        <v>3365</v>
      </c>
      <c r="F667" s="127">
        <v>3365</v>
      </c>
      <c r="G667">
        <v>639</v>
      </c>
    </row>
    <row r="668" spans="1:7" x14ac:dyDescent="0.3">
      <c r="A668" s="19">
        <v>45463</v>
      </c>
      <c r="B668">
        <v>3364.9799800000001</v>
      </c>
      <c r="C668">
        <v>3428.9499510000001</v>
      </c>
      <c r="D668">
        <v>3364.9799800000001</v>
      </c>
      <c r="E668">
        <v>3406.919922</v>
      </c>
      <c r="F668" s="127">
        <v>3406.919922</v>
      </c>
      <c r="G668">
        <v>10075</v>
      </c>
    </row>
    <row r="669" spans="1:7" x14ac:dyDescent="0.3">
      <c r="A669" s="19">
        <v>45464</v>
      </c>
      <c r="B669">
        <v>3415</v>
      </c>
      <c r="C669">
        <v>3431.8999020000001</v>
      </c>
      <c r="D669">
        <v>3379.1999510000001</v>
      </c>
      <c r="E669">
        <v>3420.429932</v>
      </c>
      <c r="F669" s="127">
        <v>3420.429932</v>
      </c>
      <c r="G669">
        <v>15644</v>
      </c>
    </row>
    <row r="670" spans="1:7" x14ac:dyDescent="0.3">
      <c r="A670" s="19">
        <v>45467</v>
      </c>
      <c r="B670">
        <v>3435.01001</v>
      </c>
      <c r="C670">
        <v>3435.01001</v>
      </c>
      <c r="D670">
        <v>3328.0500489999999</v>
      </c>
      <c r="E670">
        <v>3342.98999</v>
      </c>
      <c r="F670" s="127">
        <v>3342.98999</v>
      </c>
      <c r="G670">
        <v>4876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2:P673"/>
  <sheetViews>
    <sheetView zoomScaleNormal="100" workbookViewId="0"/>
  </sheetViews>
  <sheetFormatPr baseColWidth="10" defaultRowHeight="14.4" x14ac:dyDescent="0.3"/>
  <cols>
    <col min="4" max="4" width="16.88671875" customWidth="1"/>
    <col min="5" max="5" width="13.44140625" customWidth="1"/>
    <col min="6" max="6" width="13.44140625" bestFit="1" customWidth="1"/>
    <col min="9" max="9" width="14.6640625" customWidth="1"/>
    <col min="11" max="12" width="13.33203125" customWidth="1"/>
    <col min="13" max="13" width="14" customWidth="1"/>
    <col min="14" max="14" width="14.33203125" customWidth="1"/>
  </cols>
  <sheetData>
    <row r="2" spans="1:16" ht="17.25" customHeight="1" thickBot="1" x14ac:dyDescent="0.35">
      <c r="B2" t="s">
        <v>1</v>
      </c>
      <c r="C2" s="2">
        <f>B673</f>
        <v>3342.98999</v>
      </c>
    </row>
    <row r="3" spans="1:16" ht="17.25" customHeight="1" thickBot="1" x14ac:dyDescent="0.35">
      <c r="I3" s="137" t="s">
        <v>8</v>
      </c>
      <c r="J3" s="138"/>
    </row>
    <row r="4" spans="1:16" ht="58.2" thickBot="1" x14ac:dyDescent="0.35">
      <c r="A4" s="12" t="s">
        <v>64</v>
      </c>
      <c r="B4" s="12" t="s">
        <v>65</v>
      </c>
      <c r="C4" s="9" t="s">
        <v>63</v>
      </c>
      <c r="D4" s="12" t="s">
        <v>2</v>
      </c>
      <c r="E4" s="12" t="s">
        <v>66</v>
      </c>
      <c r="F4" s="12" t="s">
        <v>67</v>
      </c>
      <c r="G4" s="12" t="s">
        <v>3</v>
      </c>
      <c r="H4" s="12"/>
      <c r="I4" s="13" t="s">
        <v>6</v>
      </c>
      <c r="J4" s="14" t="s">
        <v>7</v>
      </c>
      <c r="K4" s="79"/>
      <c r="L4" s="79"/>
      <c r="M4" s="81" t="s">
        <v>4</v>
      </c>
      <c r="N4" s="82" t="s">
        <v>5</v>
      </c>
    </row>
    <row r="5" spans="1:16" x14ac:dyDescent="0.3">
      <c r="A5" s="1">
        <v>0</v>
      </c>
      <c r="B5" s="4">
        <v>3458.5639649999998</v>
      </c>
      <c r="I5" s="15"/>
      <c r="J5" s="16"/>
    </row>
    <row r="6" spans="1:16" ht="15" thickBot="1" x14ac:dyDescent="0.35">
      <c r="A6" s="1">
        <v>1</v>
      </c>
      <c r="B6" s="4">
        <v>3510.9960940000001</v>
      </c>
      <c r="C6" s="6">
        <f>LN(B6/B5)</f>
        <v>1.5046320782355811E-2</v>
      </c>
      <c r="D6" s="4">
        <f>$C$2*EXP(C6)</f>
        <v>3393.6700075376802</v>
      </c>
      <c r="E6" s="8">
        <f>AVERAGE(D6:D673)</f>
        <v>3343.7399308133613</v>
      </c>
      <c r="F6" s="7">
        <f>_xlfn.VAR.S(D6:D673)</f>
        <v>6181.5065479926443</v>
      </c>
      <c r="G6" s="8">
        <f>SQRT(F6)</f>
        <v>78.622557500965613</v>
      </c>
      <c r="H6" s="8"/>
      <c r="I6" s="17">
        <f>AVERAGE(C6:C673)</f>
        <v>-5.0880016141860012E-5</v>
      </c>
      <c r="J6" s="18">
        <f>_xlfn.STDEV.S(C6:C673)</f>
        <v>2.346874656449149E-2</v>
      </c>
      <c r="K6" s="80"/>
      <c r="L6" s="80"/>
      <c r="M6" s="6">
        <f>-(J6/SQRT(667))*TINV(1-99%/2,667)</f>
        <v>-6.0611589092779991E-4</v>
      </c>
      <c r="N6" s="6">
        <f>(J6/SQRT(667))*TINV(1-99%/2,667)</f>
        <v>6.0611589092779991E-4</v>
      </c>
    </row>
    <row r="7" spans="1:16" x14ac:dyDescent="0.3">
      <c r="A7" s="1">
        <v>2</v>
      </c>
      <c r="B7" s="4">
        <v>3461.6960450000001</v>
      </c>
      <c r="C7" s="6">
        <f>LN(B7/B6)</f>
        <v>-1.4141129298412845E-2</v>
      </c>
      <c r="D7" s="4">
        <f t="shared" ref="D7:D70" si="0">$C$2*EXP(C7)</f>
        <v>3296.0490177228862</v>
      </c>
      <c r="G7" s="4">
        <f>_xlfn.STDEV.S(D6:D673)</f>
        <v>78.622557500965613</v>
      </c>
      <c r="H7" s="4"/>
      <c r="I7" s="11">
        <f>C2*EXP(I6)</f>
        <v>3342.8199029423995</v>
      </c>
      <c r="J7" s="83" t="s">
        <v>69</v>
      </c>
      <c r="K7" s="84"/>
      <c r="L7" s="85"/>
      <c r="M7" s="24">
        <f>$I$7*EXP(M6)</f>
        <v>3340.7943805913696</v>
      </c>
      <c r="N7" s="24">
        <f>$I$7*EXP(N6)</f>
        <v>3344.8466533668538</v>
      </c>
    </row>
    <row r="8" spans="1:16" ht="15" thickBot="1" x14ac:dyDescent="0.35">
      <c r="A8" s="1">
        <v>3</v>
      </c>
      <c r="B8" s="4">
        <v>3446.032471</v>
      </c>
      <c r="C8" s="6">
        <f t="shared" ref="C8:C71" si="1">LN(B8/B7)</f>
        <v>-4.5350945133058275E-3</v>
      </c>
      <c r="D8" s="4">
        <f t="shared" si="0"/>
        <v>3327.8635403033963</v>
      </c>
      <c r="J8" s="86" t="s">
        <v>68</v>
      </c>
      <c r="K8" s="87"/>
      <c r="L8" s="88"/>
      <c r="M8" s="1"/>
      <c r="N8" s="1"/>
      <c r="P8" s="25"/>
    </row>
    <row r="9" spans="1:16" ht="15" thickBot="1" x14ac:dyDescent="0.35">
      <c r="A9" s="1">
        <v>4</v>
      </c>
      <c r="B9" s="4">
        <v>3487.2246089999999</v>
      </c>
      <c r="C9" s="6">
        <f t="shared" si="1"/>
        <v>1.188261799788373E-2</v>
      </c>
      <c r="D9" s="4">
        <f t="shared" si="0"/>
        <v>3382.9504100365352</v>
      </c>
      <c r="P9" s="25"/>
    </row>
    <row r="10" spans="1:16" ht="15" thickBot="1" x14ac:dyDescent="0.35">
      <c r="A10" s="1">
        <v>5</v>
      </c>
      <c r="B10" s="4">
        <v>3580.2109380000002</v>
      </c>
      <c r="C10" s="6">
        <f t="shared" si="1"/>
        <v>2.6315541037590554E-2</v>
      </c>
      <c r="D10" s="4">
        <f t="shared" si="0"/>
        <v>3432.1303241934397</v>
      </c>
      <c r="F10" s="1"/>
      <c r="J10" s="89" t="s">
        <v>70</v>
      </c>
      <c r="K10" s="90"/>
      <c r="L10" s="91"/>
      <c r="M10" s="3">
        <f>$C$2*EXP(M6)</f>
        <v>3340.9643645877381</v>
      </c>
      <c r="N10" s="3">
        <f>$C$2*EXP(N6)</f>
        <v>3345.0168435481719</v>
      </c>
    </row>
    <row r="11" spans="1:16" ht="15" thickBot="1" x14ac:dyDescent="0.35">
      <c r="A11" s="1">
        <v>6</v>
      </c>
      <c r="B11" s="4">
        <v>3578.5290530000002</v>
      </c>
      <c r="C11" s="6">
        <f t="shared" si="1"/>
        <v>-4.6988297746804967E-4</v>
      </c>
      <c r="D11" s="4">
        <f t="shared" si="0"/>
        <v>3341.4195449014574</v>
      </c>
      <c r="F11" s="1"/>
      <c r="K11" s="31"/>
      <c r="L11" s="31"/>
      <c r="M11" s="10"/>
      <c r="N11" s="10"/>
    </row>
    <row r="12" spans="1:16" x14ac:dyDescent="0.3">
      <c r="A12" s="1">
        <v>7</v>
      </c>
      <c r="B12" s="4">
        <v>3561</v>
      </c>
      <c r="C12" s="6">
        <f t="shared" si="1"/>
        <v>-4.9104326327631736E-3</v>
      </c>
      <c r="D12" s="4">
        <f t="shared" si="0"/>
        <v>3326.614700643594</v>
      </c>
      <c r="I12" s="139" t="s">
        <v>9</v>
      </c>
      <c r="J12" s="140"/>
      <c r="K12" s="79"/>
      <c r="L12" s="79"/>
    </row>
    <row r="13" spans="1:16" x14ac:dyDescent="0.3">
      <c r="A13" s="1">
        <v>8</v>
      </c>
      <c r="B13" s="4">
        <v>3628.935547</v>
      </c>
      <c r="C13" s="6">
        <f t="shared" si="1"/>
        <v>1.8897963237478697E-2</v>
      </c>
      <c r="D13" s="4">
        <f t="shared" si="0"/>
        <v>3406.7664161685411</v>
      </c>
      <c r="I13" s="13" t="s">
        <v>6</v>
      </c>
      <c r="J13" s="14" t="s">
        <v>7</v>
      </c>
      <c r="K13" s="61"/>
      <c r="L13" s="61"/>
    </row>
    <row r="14" spans="1:16" ht="15" thickBot="1" x14ac:dyDescent="0.35">
      <c r="A14" s="1">
        <v>9</v>
      </c>
      <c r="B14" s="4">
        <v>3581.3015140000002</v>
      </c>
      <c r="C14" s="6">
        <f t="shared" si="1"/>
        <v>-1.3213081792658843E-2</v>
      </c>
      <c r="D14" s="4">
        <f t="shared" si="0"/>
        <v>3299.1093276294682</v>
      </c>
      <c r="I14" s="22">
        <f>I6*252</f>
        <v>-1.2821764067748723E-2</v>
      </c>
      <c r="J14" s="23">
        <f>J6*SQRT(252)</f>
        <v>0.3725548019522758</v>
      </c>
    </row>
    <row r="15" spans="1:16" x14ac:dyDescent="0.3">
      <c r="A15" s="1">
        <v>10</v>
      </c>
      <c r="B15" s="4">
        <v>3595.5043949999999</v>
      </c>
      <c r="C15" s="6">
        <f t="shared" si="1"/>
        <v>3.9580001804889672E-3</v>
      </c>
      <c r="D15" s="4">
        <f t="shared" si="0"/>
        <v>3356.2477648135841</v>
      </c>
    </row>
    <row r="16" spans="1:16" x14ac:dyDescent="0.3">
      <c r="A16" s="1">
        <v>11</v>
      </c>
      <c r="B16" s="4">
        <v>3617.2810060000002</v>
      </c>
      <c r="C16" s="6">
        <f t="shared" si="1"/>
        <v>6.0383543823920478E-3</v>
      </c>
      <c r="D16" s="4">
        <f t="shared" si="0"/>
        <v>3363.2372167007543</v>
      </c>
    </row>
    <row r="17" spans="1:4" x14ac:dyDescent="0.3">
      <c r="A17" s="1">
        <v>12</v>
      </c>
      <c r="B17" s="4">
        <v>3671.6999510000001</v>
      </c>
      <c r="C17" s="6">
        <f t="shared" si="1"/>
        <v>1.4932116425606868E-2</v>
      </c>
      <c r="D17" s="4">
        <f t="shared" si="0"/>
        <v>3393.2824577678084</v>
      </c>
    </row>
    <row r="18" spans="1:4" x14ac:dyDescent="0.3">
      <c r="A18" s="1">
        <v>13</v>
      </c>
      <c r="B18" s="4">
        <v>3672</v>
      </c>
      <c r="C18" s="6">
        <f t="shared" si="1"/>
        <v>8.1716029295608299E-5</v>
      </c>
      <c r="D18" s="4">
        <f t="shared" si="0"/>
        <v>3343.2631770296853</v>
      </c>
    </row>
    <row r="19" spans="1:4" x14ac:dyDescent="0.3">
      <c r="A19" s="1">
        <v>14</v>
      </c>
      <c r="B19" s="4">
        <v>3842.6264649999998</v>
      </c>
      <c r="C19" s="6">
        <f t="shared" si="1"/>
        <v>4.5419635297334587E-2</v>
      </c>
      <c r="D19" s="4">
        <f t="shared" si="0"/>
        <v>3498.3283790316136</v>
      </c>
    </row>
    <row r="20" spans="1:4" x14ac:dyDescent="0.3">
      <c r="A20" s="1">
        <v>15</v>
      </c>
      <c r="B20" s="4">
        <v>3843.1599120000001</v>
      </c>
      <c r="C20" s="6">
        <f t="shared" si="1"/>
        <v>1.3881390262238751E-4</v>
      </c>
      <c r="D20" s="4">
        <f t="shared" si="0"/>
        <v>3343.4540756969677</v>
      </c>
    </row>
    <row r="21" spans="1:4" x14ac:dyDescent="0.3">
      <c r="A21" s="1">
        <v>16</v>
      </c>
      <c r="B21" s="4">
        <v>3763.6145019999999</v>
      </c>
      <c r="C21" s="6">
        <f t="shared" si="1"/>
        <v>-2.0915122589516173E-2</v>
      </c>
      <c r="D21" s="4">
        <f t="shared" si="0"/>
        <v>3273.7970561982784</v>
      </c>
    </row>
    <row r="22" spans="1:4" x14ac:dyDescent="0.3">
      <c r="A22" s="1">
        <v>17</v>
      </c>
      <c r="B22" s="4">
        <v>3795.4645999999998</v>
      </c>
      <c r="C22" s="6">
        <f t="shared" si="1"/>
        <v>8.427028228096569E-3</v>
      </c>
      <c r="D22" s="4">
        <f t="shared" si="0"/>
        <v>3371.2804960382614</v>
      </c>
    </row>
    <row r="23" spans="1:4" x14ac:dyDescent="0.3">
      <c r="A23" s="1">
        <v>18</v>
      </c>
      <c r="B23" s="4">
        <v>3828.5</v>
      </c>
      <c r="C23" s="6">
        <f t="shared" si="1"/>
        <v>8.6662539742596127E-3</v>
      </c>
      <c r="D23" s="4">
        <f t="shared" si="0"/>
        <v>3372.0870896055785</v>
      </c>
    </row>
    <row r="24" spans="1:4" x14ac:dyDescent="0.3">
      <c r="A24" s="1">
        <v>19</v>
      </c>
      <c r="B24" s="4">
        <v>3828.5</v>
      </c>
      <c r="C24" s="6">
        <f t="shared" si="1"/>
        <v>0</v>
      </c>
      <c r="D24" s="4">
        <f t="shared" si="0"/>
        <v>3342.98999</v>
      </c>
    </row>
    <row r="25" spans="1:4" x14ac:dyDescent="0.3">
      <c r="A25" s="1">
        <v>20</v>
      </c>
      <c r="B25" s="4">
        <v>3835</v>
      </c>
      <c r="C25" s="6">
        <f t="shared" si="1"/>
        <v>1.6963532481783338E-3</v>
      </c>
      <c r="D25" s="4">
        <f t="shared" si="0"/>
        <v>3348.6656945670625</v>
      </c>
    </row>
    <row r="26" spans="1:4" x14ac:dyDescent="0.3">
      <c r="A26" s="1">
        <v>21</v>
      </c>
      <c r="B26" s="4">
        <v>3874.4499510000001</v>
      </c>
      <c r="C26" s="6">
        <f t="shared" si="1"/>
        <v>1.0234269781469433E-2</v>
      </c>
      <c r="D26" s="4">
        <f t="shared" si="0"/>
        <v>3377.3787230636221</v>
      </c>
    </row>
    <row r="27" spans="1:4" x14ac:dyDescent="0.3">
      <c r="A27" s="1">
        <v>22</v>
      </c>
      <c r="B27" s="4">
        <v>3765.318115</v>
      </c>
      <c r="C27" s="6">
        <f t="shared" si="1"/>
        <v>-2.85713542222557E-2</v>
      </c>
      <c r="D27" s="4">
        <f t="shared" si="0"/>
        <v>3248.8278147358287</v>
      </c>
    </row>
    <row r="28" spans="1:4" x14ac:dyDescent="0.3">
      <c r="A28" s="1">
        <v>23</v>
      </c>
      <c r="B28" s="4">
        <v>3688.0495609999998</v>
      </c>
      <c r="C28" s="6">
        <f t="shared" si="1"/>
        <v>-2.0734606325357154E-2</v>
      </c>
      <c r="D28" s="4">
        <f t="shared" si="0"/>
        <v>3274.3880831558622</v>
      </c>
    </row>
    <row r="29" spans="1:4" x14ac:dyDescent="0.3">
      <c r="A29" s="1">
        <v>24</v>
      </c>
      <c r="B29" s="4">
        <v>3673.6364749999998</v>
      </c>
      <c r="C29" s="6">
        <f t="shared" si="1"/>
        <v>-3.915707446786181E-3</v>
      </c>
      <c r="D29" s="4">
        <f t="shared" si="0"/>
        <v>3329.9254144225652</v>
      </c>
    </row>
    <row r="30" spans="1:4" x14ac:dyDescent="0.3">
      <c r="A30" s="1">
        <v>25</v>
      </c>
      <c r="B30" s="4">
        <v>3600.3779300000001</v>
      </c>
      <c r="C30" s="6">
        <f t="shared" si="1"/>
        <v>-2.0143216098742867E-2</v>
      </c>
      <c r="D30" s="4">
        <f t="shared" si="0"/>
        <v>3276.325096975449</v>
      </c>
    </row>
    <row r="31" spans="1:4" x14ac:dyDescent="0.3">
      <c r="A31" s="1">
        <v>26</v>
      </c>
      <c r="B31" s="4">
        <v>3647.3615719999998</v>
      </c>
      <c r="C31" s="6">
        <f t="shared" si="1"/>
        <v>1.296522871346922E-2</v>
      </c>
      <c r="D31" s="4">
        <f t="shared" si="0"/>
        <v>3386.6148116030322</v>
      </c>
    </row>
    <row r="32" spans="1:4" x14ac:dyDescent="0.3">
      <c r="A32" s="1">
        <v>27</v>
      </c>
      <c r="B32" s="4">
        <v>3698.4785160000001</v>
      </c>
      <c r="C32" s="6">
        <f t="shared" si="1"/>
        <v>1.3917473966475689E-2</v>
      </c>
      <c r="D32" s="4">
        <f t="shared" si="0"/>
        <v>3389.8412354107177</v>
      </c>
    </row>
    <row r="33" spans="1:4" x14ac:dyDescent="0.3">
      <c r="A33" s="1">
        <v>28</v>
      </c>
      <c r="B33" s="4">
        <v>3694.5</v>
      </c>
      <c r="C33" s="6">
        <f t="shared" si="1"/>
        <v>-1.0762959409264853E-3</v>
      </c>
      <c r="D33" s="4">
        <f t="shared" si="0"/>
        <v>3339.3938790301736</v>
      </c>
    </row>
    <row r="34" spans="1:4" x14ac:dyDescent="0.3">
      <c r="A34" s="1">
        <v>29</v>
      </c>
      <c r="B34" s="4">
        <v>3657.568115</v>
      </c>
      <c r="C34" s="6">
        <f t="shared" si="1"/>
        <v>-1.0046750131212508E-2</v>
      </c>
      <c r="D34" s="4">
        <f t="shared" si="0"/>
        <v>3309.5719572846579</v>
      </c>
    </row>
    <row r="35" spans="1:4" x14ac:dyDescent="0.3">
      <c r="A35" s="1">
        <v>30</v>
      </c>
      <c r="B35" s="4">
        <v>3585.0004880000001</v>
      </c>
      <c r="C35" s="6">
        <f t="shared" si="1"/>
        <v>-2.0039866941044683E-2</v>
      </c>
      <c r="D35" s="4">
        <f t="shared" si="0"/>
        <v>3276.6637199124634</v>
      </c>
    </row>
    <row r="36" spans="1:4" x14ac:dyDescent="0.3">
      <c r="A36" s="1">
        <v>31</v>
      </c>
      <c r="B36" s="4">
        <v>3570</v>
      </c>
      <c r="C36" s="6">
        <f t="shared" si="1"/>
        <v>-4.1930143827603279E-3</v>
      </c>
      <c r="D36" s="4">
        <f t="shared" si="0"/>
        <v>3329.00213103123</v>
      </c>
    </row>
    <row r="37" spans="1:4" x14ac:dyDescent="0.3">
      <c r="A37" s="1">
        <v>32</v>
      </c>
      <c r="B37" s="4">
        <v>3585.9304200000001</v>
      </c>
      <c r="C37" s="6">
        <f t="shared" si="1"/>
        <v>4.4523759683462519E-3</v>
      </c>
      <c r="D37" s="4">
        <f t="shared" si="0"/>
        <v>3357.9074226600828</v>
      </c>
    </row>
    <row r="38" spans="1:4" x14ac:dyDescent="0.3">
      <c r="A38" s="1">
        <v>33</v>
      </c>
      <c r="B38" s="4">
        <v>3625</v>
      </c>
      <c r="C38" s="6">
        <f t="shared" si="1"/>
        <v>1.0836316546744086E-2</v>
      </c>
      <c r="D38" s="4">
        <f t="shared" si="0"/>
        <v>3379.4126752046682</v>
      </c>
    </row>
    <row r="39" spans="1:4" x14ac:dyDescent="0.3">
      <c r="A39" s="1">
        <v>34</v>
      </c>
      <c r="B39" s="4">
        <v>3510</v>
      </c>
      <c r="C39" s="6">
        <f t="shared" si="1"/>
        <v>-3.2238250828863634E-2</v>
      </c>
      <c r="D39" s="4">
        <f t="shared" si="0"/>
        <v>3236.9365144551725</v>
      </c>
    </row>
    <row r="40" spans="1:4" x14ac:dyDescent="0.3">
      <c r="A40" s="1">
        <v>35</v>
      </c>
      <c r="B40" s="4">
        <v>3527.75</v>
      </c>
      <c r="C40" s="6">
        <f t="shared" si="1"/>
        <v>5.0442364779584815E-3</v>
      </c>
      <c r="D40" s="4">
        <f t="shared" si="0"/>
        <v>3359.8954237101138</v>
      </c>
    </row>
    <row r="41" spans="1:4" x14ac:dyDescent="0.3">
      <c r="A41" s="1">
        <v>36</v>
      </c>
      <c r="B41" s="4">
        <v>3456.5</v>
      </c>
      <c r="C41" s="6">
        <f t="shared" si="1"/>
        <v>-2.0403757552550333E-2</v>
      </c>
      <c r="D41" s="4">
        <f t="shared" si="0"/>
        <v>3275.4715896633834</v>
      </c>
    </row>
    <row r="42" spans="1:4" x14ac:dyDescent="0.3">
      <c r="A42" s="1">
        <v>37</v>
      </c>
      <c r="B42" s="4">
        <v>3537.8535160000001</v>
      </c>
      <c r="C42" s="6">
        <f t="shared" si="1"/>
        <v>2.3263675424708846E-2</v>
      </c>
      <c r="D42" s="4">
        <f t="shared" si="0"/>
        <v>3421.6718906623191</v>
      </c>
    </row>
    <row r="43" spans="1:4" x14ac:dyDescent="0.3">
      <c r="A43" s="1">
        <v>38</v>
      </c>
      <c r="B43" s="4">
        <v>3542.4499510000001</v>
      </c>
      <c r="C43" s="6">
        <f t="shared" si="1"/>
        <v>1.2983724969232425E-3</v>
      </c>
      <c r="D43" s="4">
        <f t="shared" si="0"/>
        <v>3347.3332552384259</v>
      </c>
    </row>
    <row r="44" spans="1:4" x14ac:dyDescent="0.3">
      <c r="A44" s="1">
        <v>39</v>
      </c>
      <c r="B44" s="4">
        <v>3538.5</v>
      </c>
      <c r="C44" s="6">
        <f t="shared" si="1"/>
        <v>-1.1156557911122605E-3</v>
      </c>
      <c r="D44" s="4">
        <f t="shared" si="0"/>
        <v>3339.2624435740404</v>
      </c>
    </row>
    <row r="45" spans="1:4" x14ac:dyDescent="0.3">
      <c r="A45" s="1">
        <v>40</v>
      </c>
      <c r="B45" s="4">
        <v>3538.5</v>
      </c>
      <c r="C45" s="6">
        <f t="shared" si="1"/>
        <v>0</v>
      </c>
      <c r="D45" s="4">
        <f t="shared" si="0"/>
        <v>3342.98999</v>
      </c>
    </row>
    <row r="46" spans="1:4" x14ac:dyDescent="0.3">
      <c r="A46" s="1">
        <v>41</v>
      </c>
      <c r="B46" s="4">
        <v>3520.2565920000002</v>
      </c>
      <c r="C46" s="6">
        <f t="shared" si="1"/>
        <v>-5.1690261258956205E-3</v>
      </c>
      <c r="D46" s="4">
        <f t="shared" si="0"/>
        <v>3325.7545709446135</v>
      </c>
    </row>
    <row r="47" spans="1:4" x14ac:dyDescent="0.3">
      <c r="A47" s="1">
        <v>42</v>
      </c>
      <c r="B47" s="4">
        <v>3528.3400879999999</v>
      </c>
      <c r="C47" s="6">
        <f t="shared" si="1"/>
        <v>2.2936479162595073E-3</v>
      </c>
      <c r="D47" s="4">
        <f t="shared" si="0"/>
        <v>3350.666432187088</v>
      </c>
    </row>
    <row r="48" spans="1:4" x14ac:dyDescent="0.3">
      <c r="A48" s="1">
        <v>43</v>
      </c>
      <c r="B48" s="4">
        <v>3482.25</v>
      </c>
      <c r="C48" s="6">
        <f t="shared" si="1"/>
        <v>-1.3148893738062509E-2</v>
      </c>
      <c r="D48" s="4">
        <f t="shared" si="0"/>
        <v>3299.3210978355951</v>
      </c>
    </row>
    <row r="49" spans="1:4" x14ac:dyDescent="0.3">
      <c r="A49" s="1">
        <v>44</v>
      </c>
      <c r="B49" s="4">
        <v>3481.75</v>
      </c>
      <c r="C49" s="6">
        <f t="shared" si="1"/>
        <v>-1.435956349393972E-4</v>
      </c>
      <c r="D49" s="4">
        <f t="shared" si="0"/>
        <v>3342.5099856938764</v>
      </c>
    </row>
    <row r="50" spans="1:4" x14ac:dyDescent="0.3">
      <c r="A50" s="1">
        <v>45</v>
      </c>
      <c r="B50" s="4">
        <v>3425.1499020000001</v>
      </c>
      <c r="C50" s="6">
        <f t="shared" si="1"/>
        <v>-1.6389803187323901E-2</v>
      </c>
      <c r="D50" s="4">
        <f t="shared" si="0"/>
        <v>3288.6456054097744</v>
      </c>
    </row>
    <row r="51" spans="1:4" x14ac:dyDescent="0.3">
      <c r="A51" s="1">
        <v>46</v>
      </c>
      <c r="B51" s="4">
        <v>3499.8125</v>
      </c>
      <c r="C51" s="6">
        <f t="shared" si="1"/>
        <v>2.1564157868055951E-2</v>
      </c>
      <c r="D51" s="4">
        <f t="shared" si="0"/>
        <v>3415.8616379228106</v>
      </c>
    </row>
    <row r="52" spans="1:4" x14ac:dyDescent="0.3">
      <c r="A52" s="1">
        <v>47</v>
      </c>
      <c r="B52" s="4">
        <v>3442.5</v>
      </c>
      <c r="C52" s="6">
        <f t="shared" si="1"/>
        <v>-1.6511444011123439E-2</v>
      </c>
      <c r="D52" s="4">
        <f t="shared" si="0"/>
        <v>3288.2455961783667</v>
      </c>
    </row>
    <row r="53" spans="1:4" x14ac:dyDescent="0.3">
      <c r="A53" s="1">
        <v>48</v>
      </c>
      <c r="B53" s="4">
        <v>3400</v>
      </c>
      <c r="C53" s="6">
        <f t="shared" si="1"/>
        <v>-1.2422519998557209E-2</v>
      </c>
      <c r="D53" s="4">
        <f t="shared" si="0"/>
        <v>3301.7185086419749</v>
      </c>
    </row>
    <row r="54" spans="1:4" x14ac:dyDescent="0.3">
      <c r="A54" s="1">
        <v>49</v>
      </c>
      <c r="B54" s="4">
        <v>3347.5795899999998</v>
      </c>
      <c r="C54" s="6">
        <f t="shared" si="1"/>
        <v>-1.5537857369365519E-2</v>
      </c>
      <c r="D54" s="4">
        <f t="shared" si="0"/>
        <v>3291.4485470877366</v>
      </c>
    </row>
    <row r="55" spans="1:4" x14ac:dyDescent="0.3">
      <c r="A55" s="1">
        <v>50</v>
      </c>
      <c r="B55" s="4">
        <v>3317.8029790000001</v>
      </c>
      <c r="C55" s="6">
        <f t="shared" si="1"/>
        <v>-8.9347636929754618E-3</v>
      </c>
      <c r="D55" s="4">
        <f t="shared" si="0"/>
        <v>3313.2542033419381</v>
      </c>
    </row>
    <row r="56" spans="1:4" x14ac:dyDescent="0.3">
      <c r="A56" s="1">
        <v>51</v>
      </c>
      <c r="B56" s="4">
        <v>3274.75</v>
      </c>
      <c r="C56" s="6">
        <f t="shared" si="1"/>
        <v>-1.3061280264153359E-2</v>
      </c>
      <c r="D56" s="4">
        <f t="shared" si="0"/>
        <v>3299.6101754818819</v>
      </c>
    </row>
    <row r="57" spans="1:4" x14ac:dyDescent="0.3">
      <c r="A57" s="1">
        <v>52</v>
      </c>
      <c r="B57" s="4">
        <v>3374.5</v>
      </c>
      <c r="C57" s="6">
        <f t="shared" si="1"/>
        <v>3.0005634905702953E-2</v>
      </c>
      <c r="D57" s="4">
        <f t="shared" si="0"/>
        <v>3444.8186033300253</v>
      </c>
    </row>
    <row r="58" spans="1:4" x14ac:dyDescent="0.3">
      <c r="A58" s="1">
        <v>53</v>
      </c>
      <c r="B58" s="4">
        <v>3359.25</v>
      </c>
      <c r="C58" s="6">
        <f t="shared" si="1"/>
        <v>-4.5294304279420586E-3</v>
      </c>
      <c r="D58" s="4">
        <f t="shared" si="0"/>
        <v>3327.8823896599497</v>
      </c>
    </row>
    <row r="59" spans="1:4" x14ac:dyDescent="0.3">
      <c r="A59" s="1">
        <v>54</v>
      </c>
      <c r="B59" s="4">
        <v>3287.7915039999998</v>
      </c>
      <c r="C59" s="6">
        <f t="shared" si="1"/>
        <v>-2.1501670782237473E-2</v>
      </c>
      <c r="D59" s="4">
        <f t="shared" si="0"/>
        <v>3271.8773794981153</v>
      </c>
    </row>
    <row r="60" spans="1:4" x14ac:dyDescent="0.3">
      <c r="A60" s="1">
        <v>55</v>
      </c>
      <c r="B60" s="4">
        <v>3285</v>
      </c>
      <c r="C60" s="6">
        <f t="shared" si="1"/>
        <v>-8.4941205457077684E-4</v>
      </c>
      <c r="D60" s="4">
        <f t="shared" si="0"/>
        <v>3340.1516196478378</v>
      </c>
    </row>
    <row r="61" spans="1:4" x14ac:dyDescent="0.3">
      <c r="A61" s="1">
        <v>56</v>
      </c>
      <c r="B61" s="4">
        <v>3285</v>
      </c>
      <c r="C61" s="6">
        <f t="shared" si="1"/>
        <v>0</v>
      </c>
      <c r="D61" s="4">
        <f t="shared" si="0"/>
        <v>3342.98999</v>
      </c>
    </row>
    <row r="62" spans="1:4" x14ac:dyDescent="0.3">
      <c r="A62" s="1">
        <v>57</v>
      </c>
      <c r="B62" s="4">
        <v>3246.922607</v>
      </c>
      <c r="C62" s="6">
        <f t="shared" si="1"/>
        <v>-1.1658994332450956E-2</v>
      </c>
      <c r="D62" s="4">
        <f t="shared" si="0"/>
        <v>3304.2404181143693</v>
      </c>
    </row>
    <row r="63" spans="1:4" x14ac:dyDescent="0.3">
      <c r="A63" s="1">
        <v>58</v>
      </c>
      <c r="B63" s="4">
        <v>3214.75</v>
      </c>
      <c r="C63" s="6">
        <f t="shared" si="1"/>
        <v>-9.9580634357116435E-3</v>
      </c>
      <c r="D63" s="4">
        <f t="shared" si="0"/>
        <v>3309.8654853008943</v>
      </c>
    </row>
    <row r="64" spans="1:4" x14ac:dyDescent="0.3">
      <c r="A64" s="1">
        <v>59</v>
      </c>
      <c r="B64" s="4">
        <v>3115.6999510000001</v>
      </c>
      <c r="C64" s="6">
        <f t="shared" si="1"/>
        <v>-3.1295763800229408E-2</v>
      </c>
      <c r="D64" s="4">
        <f t="shared" si="0"/>
        <v>3239.988723240218</v>
      </c>
    </row>
    <row r="65" spans="1:4" x14ac:dyDescent="0.3">
      <c r="A65" s="1">
        <v>60</v>
      </c>
      <c r="B65" s="4">
        <v>2933.2849120000001</v>
      </c>
      <c r="C65" s="6">
        <f t="shared" si="1"/>
        <v>-6.0330904961104527E-2</v>
      </c>
      <c r="D65" s="4">
        <f t="shared" si="0"/>
        <v>3147.2677898546563</v>
      </c>
    </row>
    <row r="66" spans="1:4" x14ac:dyDescent="0.3">
      <c r="A66" s="1">
        <v>61</v>
      </c>
      <c r="B66" s="4">
        <v>2960.4404300000001</v>
      </c>
      <c r="C66" s="6">
        <f t="shared" si="1"/>
        <v>9.2151257790935182E-3</v>
      </c>
      <c r="D66" s="4">
        <f t="shared" si="0"/>
        <v>3373.9384411633646</v>
      </c>
    </row>
    <row r="67" spans="1:4" x14ac:dyDescent="0.3">
      <c r="A67" s="1">
        <v>62</v>
      </c>
      <c r="B67" s="4">
        <v>2890.9499510000001</v>
      </c>
      <c r="C67" s="6">
        <f t="shared" si="1"/>
        <v>-2.3752900304583408E-2</v>
      </c>
      <c r="D67" s="4">
        <f t="shared" si="0"/>
        <v>3264.5199173232445</v>
      </c>
    </row>
    <row r="68" spans="1:4" x14ac:dyDescent="0.3">
      <c r="A68" s="1">
        <v>63</v>
      </c>
      <c r="B68" s="4">
        <v>2880.429443</v>
      </c>
      <c r="C68" s="6">
        <f t="shared" si="1"/>
        <v>-3.6457556970671207E-3</v>
      </c>
      <c r="D68" s="4">
        <f t="shared" si="0"/>
        <v>3330.8244549579458</v>
      </c>
    </row>
    <row r="69" spans="1:4" x14ac:dyDescent="0.3">
      <c r="A69" s="1">
        <v>64</v>
      </c>
      <c r="B69" s="4">
        <v>2919.2370609999998</v>
      </c>
      <c r="C69" s="6">
        <f t="shared" si="1"/>
        <v>1.3382906476526724E-2</v>
      </c>
      <c r="D69" s="4">
        <f t="shared" si="0"/>
        <v>3388.0296207484707</v>
      </c>
    </row>
    <row r="70" spans="1:4" x14ac:dyDescent="0.3">
      <c r="A70" s="1">
        <v>65</v>
      </c>
      <c r="B70" s="4">
        <v>2966.75</v>
      </c>
      <c r="C70" s="6">
        <f t="shared" si="1"/>
        <v>1.6144775902064468E-2</v>
      </c>
      <c r="D70" s="4">
        <f t="shared" si="0"/>
        <v>3397.3998498892383</v>
      </c>
    </row>
    <row r="71" spans="1:4" x14ac:dyDescent="0.3">
      <c r="A71" s="1">
        <v>66</v>
      </c>
      <c r="B71" s="4">
        <v>3081.0900879999999</v>
      </c>
      <c r="C71" s="6">
        <f t="shared" si="1"/>
        <v>3.7816381481132331E-2</v>
      </c>
      <c r="D71" s="4">
        <f t="shared" ref="D71:D134" si="2">$C$2*EXP(C71)</f>
        <v>3471.8305628961721</v>
      </c>
    </row>
    <row r="72" spans="1:4" x14ac:dyDescent="0.3">
      <c r="A72" s="1">
        <v>67</v>
      </c>
      <c r="B72" s="4">
        <v>3094.8154300000001</v>
      </c>
      <c r="C72" s="6">
        <f t="shared" ref="C72:C135" si="3">LN(B72/B71)</f>
        <v>4.4448104190927531E-3</v>
      </c>
      <c r="D72" s="4">
        <f t="shared" si="2"/>
        <v>3357.8820183421872</v>
      </c>
    </row>
    <row r="73" spans="1:4" x14ac:dyDescent="0.3">
      <c r="A73" s="1">
        <v>68</v>
      </c>
      <c r="B73" s="4">
        <v>3086.3635250000002</v>
      </c>
      <c r="C73" s="6">
        <f t="shared" si="3"/>
        <v>-2.7347243394767163E-3</v>
      </c>
      <c r="D73" s="4">
        <f t="shared" si="2"/>
        <v>3333.8603231586303</v>
      </c>
    </row>
    <row r="74" spans="1:4" x14ac:dyDescent="0.3">
      <c r="A74" s="1">
        <v>69</v>
      </c>
      <c r="B74" s="4">
        <v>2870.0109859999998</v>
      </c>
      <c r="C74" s="6">
        <f t="shared" si="3"/>
        <v>-7.267768748509193E-2</v>
      </c>
      <c r="D74" s="4">
        <f t="shared" si="2"/>
        <v>3108.6480641932899</v>
      </c>
    </row>
    <row r="75" spans="1:4" x14ac:dyDescent="0.3">
      <c r="A75" s="1">
        <v>70</v>
      </c>
      <c r="B75" s="4">
        <v>3318</v>
      </c>
      <c r="C75" s="6">
        <f t="shared" si="3"/>
        <v>0.14504633412948492</v>
      </c>
      <c r="D75" s="4">
        <f t="shared" si="2"/>
        <v>3864.8077798054815</v>
      </c>
    </row>
    <row r="76" spans="1:4" x14ac:dyDescent="0.3">
      <c r="A76" s="1">
        <v>71</v>
      </c>
      <c r="B76" s="4">
        <v>3329.2280270000001</v>
      </c>
      <c r="C76" s="6">
        <f t="shared" si="3"/>
        <v>3.3782616251029729E-3</v>
      </c>
      <c r="D76" s="4">
        <f t="shared" si="2"/>
        <v>3354.3025824859706</v>
      </c>
    </row>
    <row r="77" spans="1:4" x14ac:dyDescent="0.3">
      <c r="A77" s="1">
        <v>72</v>
      </c>
      <c r="B77" s="4">
        <v>3299.7924800000001</v>
      </c>
      <c r="C77" s="6">
        <f t="shared" si="3"/>
        <v>-8.8808717467409107E-3</v>
      </c>
      <c r="D77" s="4">
        <f t="shared" si="2"/>
        <v>3313.4327658708239</v>
      </c>
    </row>
    <row r="78" spans="1:4" x14ac:dyDescent="0.3">
      <c r="A78" s="1">
        <v>73</v>
      </c>
      <c r="B78" s="4">
        <v>3259.1184079999998</v>
      </c>
      <c r="C78" s="6">
        <f t="shared" si="3"/>
        <v>-1.2402849833836589E-2</v>
      </c>
      <c r="D78" s="4">
        <f t="shared" si="2"/>
        <v>3301.7834546276481</v>
      </c>
    </row>
    <row r="79" spans="1:4" x14ac:dyDescent="0.3">
      <c r="A79" s="1">
        <v>74</v>
      </c>
      <c r="B79" s="4">
        <v>3151.5839839999999</v>
      </c>
      <c r="C79" s="6">
        <f t="shared" si="3"/>
        <v>-3.3551553299475491E-2</v>
      </c>
      <c r="D79" s="4">
        <f t="shared" si="2"/>
        <v>3232.6882279866895</v>
      </c>
    </row>
    <row r="80" spans="1:4" x14ac:dyDescent="0.3">
      <c r="A80" s="1">
        <v>75</v>
      </c>
      <c r="B80" s="4">
        <v>3166.75</v>
      </c>
      <c r="C80" s="6">
        <f t="shared" si="3"/>
        <v>4.8006468683022101E-3</v>
      </c>
      <c r="D80" s="4">
        <f t="shared" si="2"/>
        <v>3359.077087768479</v>
      </c>
    </row>
    <row r="81" spans="1:4" x14ac:dyDescent="0.3">
      <c r="A81" s="1">
        <v>76</v>
      </c>
      <c r="B81" s="4">
        <v>3179.6684570000002</v>
      </c>
      <c r="C81" s="6">
        <f t="shared" si="3"/>
        <v>4.0711071701222696E-3</v>
      </c>
      <c r="D81" s="4">
        <f t="shared" si="2"/>
        <v>3356.6274013640946</v>
      </c>
    </row>
    <row r="82" spans="1:4" x14ac:dyDescent="0.3">
      <c r="A82" s="1">
        <v>77</v>
      </c>
      <c r="B82" s="4">
        <v>3217.5</v>
      </c>
      <c r="C82" s="6">
        <f t="shared" si="3"/>
        <v>1.1827727936417695E-2</v>
      </c>
      <c r="D82" s="4">
        <f t="shared" si="2"/>
        <v>3382.7647247767759</v>
      </c>
    </row>
    <row r="83" spans="1:4" x14ac:dyDescent="0.3">
      <c r="A83" s="1">
        <v>78</v>
      </c>
      <c r="B83" s="4">
        <v>3149.2055660000001</v>
      </c>
      <c r="C83" s="6">
        <f t="shared" si="3"/>
        <v>-2.1454440728532663E-2</v>
      </c>
      <c r="D83" s="4">
        <f t="shared" si="2"/>
        <v>3272.0319140917745</v>
      </c>
    </row>
    <row r="84" spans="1:4" x14ac:dyDescent="0.3">
      <c r="A84" s="1">
        <v>79</v>
      </c>
      <c r="B84" s="4">
        <v>3109.235107</v>
      </c>
      <c r="C84" s="6">
        <f t="shared" si="3"/>
        <v>-1.2773470120471838E-2</v>
      </c>
      <c r="D84" s="4">
        <f t="shared" si="2"/>
        <v>3300.5599734347666</v>
      </c>
    </row>
    <row r="85" spans="1:4" x14ac:dyDescent="0.3">
      <c r="A85" s="1">
        <v>80</v>
      </c>
      <c r="B85" s="4">
        <v>3109.235107</v>
      </c>
      <c r="C85" s="6">
        <f t="shared" si="3"/>
        <v>0</v>
      </c>
      <c r="D85" s="4">
        <f t="shared" si="2"/>
        <v>3342.98999</v>
      </c>
    </row>
    <row r="86" spans="1:4" x14ac:dyDescent="0.3">
      <c r="A86" s="1">
        <v>81</v>
      </c>
      <c r="B86" s="4">
        <v>3052.264404</v>
      </c>
      <c r="C86" s="6">
        <f t="shared" si="3"/>
        <v>-1.8493006941830641E-2</v>
      </c>
      <c r="D86" s="4">
        <f t="shared" si="2"/>
        <v>3281.7361821346876</v>
      </c>
    </row>
    <row r="87" spans="1:4" x14ac:dyDescent="0.3">
      <c r="A87" s="1">
        <v>82</v>
      </c>
      <c r="B87" s="4">
        <v>2936.4235840000001</v>
      </c>
      <c r="C87" s="6">
        <f t="shared" si="3"/>
        <v>-3.8691369871749627E-2</v>
      </c>
      <c r="D87" s="4">
        <f t="shared" si="2"/>
        <v>3216.115430513642</v>
      </c>
    </row>
    <row r="88" spans="1:4" x14ac:dyDescent="0.3">
      <c r="A88" s="1">
        <v>83</v>
      </c>
      <c r="B88" s="4">
        <v>3106.2333979999999</v>
      </c>
      <c r="C88" s="6">
        <f t="shared" si="3"/>
        <v>5.6218493314709392E-2</v>
      </c>
      <c r="D88" s="4">
        <f t="shared" si="2"/>
        <v>3536.3110460965722</v>
      </c>
    </row>
    <row r="89" spans="1:4" x14ac:dyDescent="0.3">
      <c r="A89" s="1">
        <v>84</v>
      </c>
      <c r="B89" s="4">
        <v>3126.8249510000001</v>
      </c>
      <c r="C89" s="6">
        <f t="shared" si="3"/>
        <v>6.6072309156103423E-3</v>
      </c>
      <c r="D89" s="4">
        <f t="shared" si="2"/>
        <v>3365.1510277384637</v>
      </c>
    </row>
    <row r="90" spans="1:4" x14ac:dyDescent="0.3">
      <c r="A90" s="1">
        <v>85</v>
      </c>
      <c r="B90" s="4">
        <v>3112.1499020000001</v>
      </c>
      <c r="C90" s="6">
        <f t="shared" si="3"/>
        <v>-4.7043228766883282E-3</v>
      </c>
      <c r="D90" s="4">
        <f t="shared" si="2"/>
        <v>3327.3004190522979</v>
      </c>
    </row>
    <row r="91" spans="1:4" x14ac:dyDescent="0.3">
      <c r="A91" s="1">
        <v>86</v>
      </c>
      <c r="B91" s="4">
        <v>3112.1499020000001</v>
      </c>
      <c r="C91" s="6">
        <f t="shared" si="3"/>
        <v>0</v>
      </c>
      <c r="D91" s="4">
        <f t="shared" si="2"/>
        <v>3342.98999</v>
      </c>
    </row>
    <row r="92" spans="1:4" x14ac:dyDescent="0.3">
      <c r="A92" s="1">
        <v>87</v>
      </c>
      <c r="B92" s="4">
        <v>3142.5</v>
      </c>
      <c r="C92" s="6">
        <f t="shared" si="3"/>
        <v>9.7048873030740352E-3</v>
      </c>
      <c r="D92" s="4">
        <f t="shared" si="2"/>
        <v>3375.5912711093433</v>
      </c>
    </row>
    <row r="93" spans="1:4" x14ac:dyDescent="0.3">
      <c r="A93" s="1">
        <v>88</v>
      </c>
      <c r="B93" s="4">
        <v>3059.5495609999998</v>
      </c>
      <c r="C93" s="6">
        <f t="shared" si="3"/>
        <v>-2.6750958640877905E-2</v>
      </c>
      <c r="D93" s="4">
        <f t="shared" si="2"/>
        <v>3254.7473528502446</v>
      </c>
    </row>
    <row r="94" spans="1:4" x14ac:dyDescent="0.3">
      <c r="A94" s="1">
        <v>89</v>
      </c>
      <c r="B94" s="4">
        <v>3041.6918949999999</v>
      </c>
      <c r="C94" s="6">
        <f t="shared" si="3"/>
        <v>-5.853797828763785E-3</v>
      </c>
      <c r="D94" s="4">
        <f t="shared" si="2"/>
        <v>3323.4779678893824</v>
      </c>
    </row>
    <row r="95" spans="1:4" x14ac:dyDescent="0.3">
      <c r="A95" s="1">
        <v>90</v>
      </c>
      <c r="B95" s="4">
        <v>2942.0500489999999</v>
      </c>
      <c r="C95" s="6">
        <f t="shared" si="3"/>
        <v>-3.3307271081409781E-2</v>
      </c>
      <c r="D95" s="4">
        <f t="shared" si="2"/>
        <v>3233.4780126985902</v>
      </c>
    </row>
    <row r="96" spans="1:4" x14ac:dyDescent="0.3">
      <c r="A96" s="1">
        <v>91</v>
      </c>
      <c r="B96" s="4">
        <v>2913.423096</v>
      </c>
      <c r="C96" s="6">
        <f t="shared" si="3"/>
        <v>-9.7779224225465738E-3</v>
      </c>
      <c r="D96" s="4">
        <f t="shared" si="2"/>
        <v>3310.4617815299475</v>
      </c>
    </row>
    <row r="97" spans="1:4" x14ac:dyDescent="0.3">
      <c r="A97" s="1">
        <v>92</v>
      </c>
      <c r="B97" s="4">
        <v>2905.5</v>
      </c>
      <c r="C97" s="6">
        <f t="shared" si="3"/>
        <v>-2.7232189756442753E-3</v>
      </c>
      <c r="D97" s="4">
        <f t="shared" si="2"/>
        <v>3333.8986806552725</v>
      </c>
    </row>
    <row r="98" spans="1:4" x14ac:dyDescent="0.3">
      <c r="A98" s="1">
        <v>93</v>
      </c>
      <c r="B98" s="4">
        <v>3096.6640630000002</v>
      </c>
      <c r="C98" s="6">
        <f t="shared" si="3"/>
        <v>6.3719930827705398E-2</v>
      </c>
      <c r="D98" s="4">
        <f t="shared" si="2"/>
        <v>3562.9382085705488</v>
      </c>
    </row>
    <row r="99" spans="1:4" x14ac:dyDescent="0.3">
      <c r="A99" s="1">
        <v>94</v>
      </c>
      <c r="B99" s="4">
        <v>3051.4035640000002</v>
      </c>
      <c r="C99" s="6">
        <f t="shared" si="3"/>
        <v>-1.47237536759816E-2</v>
      </c>
      <c r="D99" s="4">
        <f t="shared" si="2"/>
        <v>3294.1292185307107</v>
      </c>
    </row>
    <row r="100" spans="1:4" x14ac:dyDescent="0.3">
      <c r="A100" s="1">
        <v>95</v>
      </c>
      <c r="B100" s="4">
        <v>2969.3334960000002</v>
      </c>
      <c r="C100" s="6">
        <f t="shared" si="3"/>
        <v>-2.7264154175518706E-2</v>
      </c>
      <c r="D100" s="4">
        <f t="shared" si="2"/>
        <v>3253.0774595699149</v>
      </c>
    </row>
    <row r="101" spans="1:4" x14ac:dyDescent="0.3">
      <c r="A101" s="1">
        <v>96</v>
      </c>
      <c r="B101" s="4">
        <v>3078.25</v>
      </c>
      <c r="C101" s="6">
        <f t="shared" si="3"/>
        <v>3.6023738181615549E-2</v>
      </c>
      <c r="D101" s="4">
        <f t="shared" si="2"/>
        <v>3465.6123842538905</v>
      </c>
    </row>
    <row r="102" spans="1:4" x14ac:dyDescent="0.3">
      <c r="A102" s="1">
        <v>97</v>
      </c>
      <c r="B102" s="4">
        <v>3145</v>
      </c>
      <c r="C102" s="6">
        <f t="shared" si="3"/>
        <v>2.1452636461559971E-2</v>
      </c>
      <c r="D102" s="4">
        <f t="shared" si="2"/>
        <v>3415.480717469341</v>
      </c>
    </row>
    <row r="103" spans="1:4" x14ac:dyDescent="0.3">
      <c r="A103" s="1">
        <v>98</v>
      </c>
      <c r="B103" s="4">
        <v>3221.939453</v>
      </c>
      <c r="C103" s="6">
        <f t="shared" si="3"/>
        <v>2.4169602681553527E-2</v>
      </c>
      <c r="D103" s="4">
        <f t="shared" si="2"/>
        <v>3424.7730810063831</v>
      </c>
    </row>
    <row r="104" spans="1:4" x14ac:dyDescent="0.3">
      <c r="A104" s="1">
        <v>99</v>
      </c>
      <c r="B104" s="4">
        <v>3274.732422</v>
      </c>
      <c r="C104" s="6">
        <f t="shared" si="3"/>
        <v>1.6252669709262167E-2</v>
      </c>
      <c r="D104" s="4">
        <f t="shared" si="2"/>
        <v>3397.7664280690178</v>
      </c>
    </row>
    <row r="105" spans="1:4" x14ac:dyDescent="0.3">
      <c r="A105" s="1">
        <v>100</v>
      </c>
      <c r="B105" s="4">
        <v>3352.4909670000002</v>
      </c>
      <c r="C105" s="6">
        <f t="shared" si="3"/>
        <v>2.3467479219688305E-2</v>
      </c>
      <c r="D105" s="4">
        <f t="shared" si="2"/>
        <v>3422.3693114448974</v>
      </c>
    </row>
    <row r="106" spans="1:4" x14ac:dyDescent="0.3">
      <c r="A106" s="1">
        <v>101</v>
      </c>
      <c r="B106" s="4">
        <v>3318.5</v>
      </c>
      <c r="C106" s="6">
        <f t="shared" si="3"/>
        <v>-1.0190768159065276E-2</v>
      </c>
      <c r="D106" s="4">
        <f t="shared" si="2"/>
        <v>3309.0953535789195</v>
      </c>
    </row>
    <row r="107" spans="1:4" x14ac:dyDescent="0.3">
      <c r="A107" s="1">
        <v>102</v>
      </c>
      <c r="B107" s="4">
        <v>3278.25</v>
      </c>
      <c r="C107" s="6">
        <f t="shared" si="3"/>
        <v>-1.2203130174446093E-2</v>
      </c>
      <c r="D107" s="4">
        <f t="shared" si="2"/>
        <v>3302.4429515496458</v>
      </c>
    </row>
    <row r="108" spans="1:4" x14ac:dyDescent="0.3">
      <c r="A108" s="1">
        <v>103</v>
      </c>
      <c r="B108" s="4">
        <v>3293.389893</v>
      </c>
      <c r="C108" s="6">
        <f t="shared" si="3"/>
        <v>4.6076535026532538E-3</v>
      </c>
      <c r="D108" s="4">
        <f t="shared" si="2"/>
        <v>3358.4288707286423</v>
      </c>
    </row>
    <row r="109" spans="1:4" x14ac:dyDescent="0.3">
      <c r="A109" s="1">
        <v>104</v>
      </c>
      <c r="B109" s="4">
        <v>3392.9575199999999</v>
      </c>
      <c r="C109" s="6">
        <f t="shared" si="3"/>
        <v>2.9784568897769627E-2</v>
      </c>
      <c r="D109" s="4">
        <f t="shared" si="2"/>
        <v>3444.0571552015826</v>
      </c>
    </row>
    <row r="110" spans="1:4" x14ac:dyDescent="0.3">
      <c r="A110" s="1">
        <v>105</v>
      </c>
      <c r="B110" s="4">
        <v>3389.919922</v>
      </c>
      <c r="C110" s="6">
        <f t="shared" si="3"/>
        <v>-8.9566654536876321E-4</v>
      </c>
      <c r="D110" s="4">
        <f t="shared" si="2"/>
        <v>3339.9971262085182</v>
      </c>
    </row>
    <row r="111" spans="1:4" x14ac:dyDescent="0.3">
      <c r="A111" s="1">
        <v>106</v>
      </c>
      <c r="B111" s="4">
        <v>3299.1835940000001</v>
      </c>
      <c r="C111" s="6">
        <f t="shared" si="3"/>
        <v>-2.7131257176970406E-2</v>
      </c>
      <c r="D111" s="4">
        <f t="shared" si="2"/>
        <v>3253.509812528906</v>
      </c>
    </row>
    <row r="112" spans="1:4" x14ac:dyDescent="0.3">
      <c r="A112" s="1">
        <v>107</v>
      </c>
      <c r="B112" s="4">
        <v>3287.25</v>
      </c>
      <c r="C112" s="6">
        <f t="shared" si="3"/>
        <v>-3.6236931225890117E-3</v>
      </c>
      <c r="D112" s="4">
        <f t="shared" si="2"/>
        <v>3330.8979423312139</v>
      </c>
    </row>
    <row r="113" spans="1:4" x14ac:dyDescent="0.3">
      <c r="A113" s="1">
        <v>108</v>
      </c>
      <c r="B113" s="4">
        <v>3241.469482</v>
      </c>
      <c r="C113" s="6">
        <f t="shared" si="3"/>
        <v>-1.4024578173406542E-2</v>
      </c>
      <c r="D113" s="4">
        <f t="shared" si="2"/>
        <v>3296.4331983318839</v>
      </c>
    </row>
    <row r="114" spans="1:4" x14ac:dyDescent="0.3">
      <c r="A114" s="1">
        <v>109</v>
      </c>
      <c r="B114" s="4">
        <v>3327.0439449999999</v>
      </c>
      <c r="C114" s="6">
        <f t="shared" si="3"/>
        <v>2.6057434733955265E-2</v>
      </c>
      <c r="D114" s="4">
        <f t="shared" si="2"/>
        <v>3431.2445840343439</v>
      </c>
    </row>
    <row r="115" spans="1:4" x14ac:dyDescent="0.3">
      <c r="A115" s="1">
        <v>110</v>
      </c>
      <c r="B115" s="4">
        <v>3263.3535160000001</v>
      </c>
      <c r="C115" s="6">
        <f t="shared" si="3"/>
        <v>-1.9328853012012495E-2</v>
      </c>
      <c r="D115" s="4">
        <f t="shared" si="2"/>
        <v>3278.9943018980189</v>
      </c>
    </row>
    <row r="116" spans="1:4" x14ac:dyDescent="0.3">
      <c r="A116" s="1">
        <v>111</v>
      </c>
      <c r="B116" s="4">
        <v>3212.9990229999999</v>
      </c>
      <c r="C116" s="6">
        <f t="shared" si="3"/>
        <v>-1.5550576476938771E-2</v>
      </c>
      <c r="D116" s="4">
        <f t="shared" si="2"/>
        <v>3291.4066830658312</v>
      </c>
    </row>
    <row r="117" spans="1:4" x14ac:dyDescent="0.3">
      <c r="A117" s="1">
        <v>112</v>
      </c>
      <c r="B117" s="4">
        <v>3187.2915039999998</v>
      </c>
      <c r="C117" s="6">
        <f t="shared" si="3"/>
        <v>-8.0332782211088236E-3</v>
      </c>
      <c r="D117" s="4">
        <f t="shared" si="2"/>
        <v>3316.2424005766793</v>
      </c>
    </row>
    <row r="118" spans="1:4" x14ac:dyDescent="0.3">
      <c r="A118" s="1">
        <v>113</v>
      </c>
      <c r="B118" s="4">
        <v>3104.5</v>
      </c>
      <c r="C118" s="6">
        <f t="shared" si="3"/>
        <v>-2.6318826012569428E-2</v>
      </c>
      <c r="D118" s="4">
        <f t="shared" si="2"/>
        <v>3256.1541393155862</v>
      </c>
    </row>
    <row r="119" spans="1:4" x14ac:dyDescent="0.3">
      <c r="A119" s="1">
        <v>114</v>
      </c>
      <c r="B119" s="4">
        <v>3014.6000979999999</v>
      </c>
      <c r="C119" s="6">
        <f t="shared" si="3"/>
        <v>-2.9385487920060325E-2</v>
      </c>
      <c r="D119" s="4">
        <f t="shared" si="2"/>
        <v>3246.183910925115</v>
      </c>
    </row>
    <row r="120" spans="1:4" x14ac:dyDescent="0.3">
      <c r="A120" s="1">
        <v>115</v>
      </c>
      <c r="B120" s="4">
        <v>2989.6403810000002</v>
      </c>
      <c r="C120" s="6">
        <f t="shared" si="3"/>
        <v>-8.3140776466854843E-3</v>
      </c>
      <c r="D120" s="4">
        <f t="shared" si="2"/>
        <v>3315.3113323433545</v>
      </c>
    </row>
    <row r="121" spans="1:4" x14ac:dyDescent="0.3">
      <c r="A121" s="1">
        <v>116</v>
      </c>
      <c r="B121" s="4">
        <v>3057.0500489999999</v>
      </c>
      <c r="C121" s="6">
        <f t="shared" si="3"/>
        <v>2.2297308451882256E-2</v>
      </c>
      <c r="D121" s="4">
        <f t="shared" si="2"/>
        <v>3418.3668971308325</v>
      </c>
    </row>
    <row r="122" spans="1:4" x14ac:dyDescent="0.3">
      <c r="A122" s="1">
        <v>117</v>
      </c>
      <c r="B122" s="4">
        <v>3055</v>
      </c>
      <c r="C122" s="6">
        <f t="shared" si="3"/>
        <v>-6.7082208438808263E-4</v>
      </c>
      <c r="D122" s="4">
        <f t="shared" si="2"/>
        <v>3340.748190495196</v>
      </c>
    </row>
    <row r="123" spans="1:4" x14ac:dyDescent="0.3">
      <c r="A123" s="1">
        <v>118</v>
      </c>
      <c r="B123" s="4">
        <v>3175.0024410000001</v>
      </c>
      <c r="C123" s="6">
        <f t="shared" si="3"/>
        <v>3.8528808539698367E-2</v>
      </c>
      <c r="D123" s="4">
        <f t="shared" si="2"/>
        <v>3474.3048702090227</v>
      </c>
    </row>
    <row r="124" spans="1:4" x14ac:dyDescent="0.3">
      <c r="A124" s="1">
        <v>119</v>
      </c>
      <c r="B124" s="4">
        <v>3090</v>
      </c>
      <c r="C124" s="6">
        <f t="shared" si="3"/>
        <v>-2.7137310253603032E-2</v>
      </c>
      <c r="D124" s="4">
        <f t="shared" si="2"/>
        <v>3253.4901188442896</v>
      </c>
    </row>
    <row r="125" spans="1:4" x14ac:dyDescent="0.3">
      <c r="A125" s="1">
        <v>120</v>
      </c>
      <c r="B125" s="4">
        <v>2994.205078</v>
      </c>
      <c r="C125" s="6">
        <f t="shared" si="3"/>
        <v>-3.1492310931998439E-2</v>
      </c>
      <c r="D125" s="4">
        <f t="shared" si="2"/>
        <v>3239.351975327239</v>
      </c>
    </row>
    <row r="126" spans="1:4" x14ac:dyDescent="0.3">
      <c r="A126" s="1">
        <v>121</v>
      </c>
      <c r="B126" s="4">
        <v>2929.8000489999999</v>
      </c>
      <c r="C126" s="6">
        <f t="shared" si="3"/>
        <v>-2.1744601939432232E-2</v>
      </c>
      <c r="D126" s="4">
        <f t="shared" si="2"/>
        <v>3271.082635078114</v>
      </c>
    </row>
    <row r="127" spans="1:4" x14ac:dyDescent="0.3">
      <c r="A127" s="1">
        <v>122</v>
      </c>
      <c r="B127" s="4">
        <v>2948.4135740000002</v>
      </c>
      <c r="C127" s="6">
        <f t="shared" si="3"/>
        <v>6.3330761371128584E-3</v>
      </c>
      <c r="D127" s="4">
        <f t="shared" si="2"/>
        <v>3364.2285819560807</v>
      </c>
    </row>
    <row r="128" spans="1:4" x14ac:dyDescent="0.3">
      <c r="A128" s="1">
        <v>123</v>
      </c>
      <c r="B128" s="4">
        <v>2848.2810060000002</v>
      </c>
      <c r="C128" s="6">
        <f t="shared" si="3"/>
        <v>-3.4551597655879097E-2</v>
      </c>
      <c r="D128" s="4">
        <f t="shared" si="2"/>
        <v>3229.4570123170683</v>
      </c>
    </row>
    <row r="129" spans="1:4" x14ac:dyDescent="0.3">
      <c r="A129" s="1">
        <v>124</v>
      </c>
      <c r="B129" s="4">
        <v>2814.6520999999998</v>
      </c>
      <c r="C129" s="6">
        <f t="shared" si="3"/>
        <v>-1.1876990487267234E-2</v>
      </c>
      <c r="D129" s="4">
        <f t="shared" si="2"/>
        <v>3303.5201849155183</v>
      </c>
    </row>
    <row r="130" spans="1:4" x14ac:dyDescent="0.3">
      <c r="A130" s="1">
        <v>125</v>
      </c>
      <c r="B130" s="4">
        <v>2964.2614749999998</v>
      </c>
      <c r="C130" s="6">
        <f t="shared" si="3"/>
        <v>5.1789254447337611E-2</v>
      </c>
      <c r="D130" s="4">
        <f t="shared" si="2"/>
        <v>3520.6825165595546</v>
      </c>
    </row>
    <row r="131" spans="1:4" x14ac:dyDescent="0.3">
      <c r="A131" s="1">
        <v>126</v>
      </c>
      <c r="B131" s="4">
        <v>2517.4045409999999</v>
      </c>
      <c r="C131" s="6">
        <f t="shared" si="3"/>
        <v>-0.16339949376064974</v>
      </c>
      <c r="D131" s="4">
        <f t="shared" si="2"/>
        <v>2839.0404329441094</v>
      </c>
    </row>
    <row r="132" spans="1:4" x14ac:dyDescent="0.3">
      <c r="A132" s="1">
        <v>127</v>
      </c>
      <c r="B132" s="4">
        <v>2526.8869629999999</v>
      </c>
      <c r="C132" s="6">
        <f t="shared" si="3"/>
        <v>3.7596689890220096E-3</v>
      </c>
      <c r="D132" s="4">
        <f t="shared" si="2"/>
        <v>3355.5821822006083</v>
      </c>
    </row>
    <row r="133" spans="1:4" x14ac:dyDescent="0.3">
      <c r="A133" s="1">
        <v>128</v>
      </c>
      <c r="B133" s="4">
        <v>2507.758057</v>
      </c>
      <c r="C133" s="6">
        <f t="shared" si="3"/>
        <v>-7.5989460914079286E-3</v>
      </c>
      <c r="D133" s="4">
        <f t="shared" si="2"/>
        <v>3317.6830640416938</v>
      </c>
    </row>
    <row r="134" spans="1:4" x14ac:dyDescent="0.3">
      <c r="A134" s="1">
        <v>129</v>
      </c>
      <c r="B134" s="4">
        <v>2515.4365229999999</v>
      </c>
      <c r="C134" s="6">
        <f t="shared" si="3"/>
        <v>3.0572066673046792E-3</v>
      </c>
      <c r="D134" s="4">
        <f t="shared" si="2"/>
        <v>3353.2258398679346</v>
      </c>
    </row>
    <row r="135" spans="1:4" x14ac:dyDescent="0.3">
      <c r="A135" s="1">
        <v>130</v>
      </c>
      <c r="B135" s="4">
        <v>2346.3029790000001</v>
      </c>
      <c r="C135" s="6">
        <f t="shared" si="3"/>
        <v>-6.9605467332452473E-2</v>
      </c>
      <c r="D135" s="4">
        <f t="shared" ref="D135:D198" si="4">$C$2*EXP(C135)</f>
        <v>3118.2132010031969</v>
      </c>
    </row>
    <row r="136" spans="1:4" x14ac:dyDescent="0.3">
      <c r="A136" s="1">
        <v>131</v>
      </c>
      <c r="B136" s="4">
        <v>2315.75</v>
      </c>
      <c r="C136" s="6">
        <f t="shared" ref="C136:C199" si="5">LN(B136/B135)</f>
        <v>-1.3107279799343976E-2</v>
      </c>
      <c r="D136" s="4">
        <f t="shared" si="4"/>
        <v>3299.458398438363</v>
      </c>
    </row>
    <row r="137" spans="1:4" x14ac:dyDescent="0.3">
      <c r="A137" s="1">
        <v>132</v>
      </c>
      <c r="B137" s="4">
        <v>2209.5</v>
      </c>
      <c r="C137" s="6">
        <f t="shared" si="5"/>
        <v>-4.6967363563342274E-2</v>
      </c>
      <c r="D137" s="4">
        <f t="shared" si="4"/>
        <v>3189.6087154939005</v>
      </c>
    </row>
    <row r="138" spans="1:4" x14ac:dyDescent="0.3">
      <c r="A138" s="1">
        <v>133</v>
      </c>
      <c r="B138" s="4">
        <v>2217.4121089999999</v>
      </c>
      <c r="C138" s="6">
        <f t="shared" si="5"/>
        <v>3.57455365269924E-3</v>
      </c>
      <c r="D138" s="4">
        <f t="shared" si="4"/>
        <v>3354.9610699668651</v>
      </c>
    </row>
    <row r="139" spans="1:4" x14ac:dyDescent="0.3">
      <c r="A139" s="1">
        <v>134</v>
      </c>
      <c r="B139" s="4">
        <v>2142.804932</v>
      </c>
      <c r="C139" s="6">
        <f t="shared" si="5"/>
        <v>-3.4225112557959764E-2</v>
      </c>
      <c r="D139" s="4">
        <f t="shared" si="4"/>
        <v>3230.5115540426732</v>
      </c>
    </row>
    <row r="140" spans="1:4" x14ac:dyDescent="0.3">
      <c r="A140" s="1">
        <v>135</v>
      </c>
      <c r="B140" s="4">
        <v>2155</v>
      </c>
      <c r="C140" s="6">
        <f t="shared" si="5"/>
        <v>5.6750368723139603E-3</v>
      </c>
      <c r="D140" s="4">
        <f t="shared" si="4"/>
        <v>3362.0155156755068</v>
      </c>
    </row>
    <row r="141" spans="1:4" x14ac:dyDescent="0.3">
      <c r="A141" s="1">
        <v>136</v>
      </c>
      <c r="B141" s="4">
        <v>2265.5920409999999</v>
      </c>
      <c r="C141" s="6">
        <f t="shared" si="5"/>
        <v>5.0045387978686989E-2</v>
      </c>
      <c r="D141" s="4">
        <f t="shared" si="4"/>
        <v>3514.5482665831414</v>
      </c>
    </row>
    <row r="142" spans="1:4" x14ac:dyDescent="0.3">
      <c r="A142" s="1">
        <v>137</v>
      </c>
      <c r="B142" s="4">
        <v>2217.7590329999998</v>
      </c>
      <c r="C142" s="6">
        <f t="shared" si="5"/>
        <v>-2.1338870077126707E-2</v>
      </c>
      <c r="D142" s="4">
        <f t="shared" si="4"/>
        <v>3272.4100868039195</v>
      </c>
    </row>
    <row r="143" spans="1:4" x14ac:dyDescent="0.3">
      <c r="A143" s="1">
        <v>138</v>
      </c>
      <c r="B143" s="4">
        <v>2297.3515630000002</v>
      </c>
      <c r="C143" s="6">
        <f t="shared" si="5"/>
        <v>3.5259723651012931E-2</v>
      </c>
      <c r="D143" s="4">
        <f t="shared" si="4"/>
        <v>3462.9656172478572</v>
      </c>
    </row>
    <row r="144" spans="1:4" x14ac:dyDescent="0.3">
      <c r="A144" s="1">
        <v>139</v>
      </c>
      <c r="B144" s="4">
        <v>2144.2285160000001</v>
      </c>
      <c r="C144" s="6">
        <f t="shared" si="5"/>
        <v>-6.8977143624170997E-2</v>
      </c>
      <c r="D144" s="4">
        <f t="shared" si="4"/>
        <v>3120.1730639345578</v>
      </c>
    </row>
    <row r="145" spans="1:4" x14ac:dyDescent="0.3">
      <c r="A145" s="1">
        <v>140</v>
      </c>
      <c r="B145" s="4">
        <v>2141</v>
      </c>
      <c r="C145" s="6">
        <f t="shared" si="5"/>
        <v>-1.5068118765676033E-3</v>
      </c>
      <c r="D145" s="4">
        <f t="shared" si="4"/>
        <v>3337.9565261737239</v>
      </c>
    </row>
    <row r="146" spans="1:4" x14ac:dyDescent="0.3">
      <c r="A146" s="1">
        <v>141</v>
      </c>
      <c r="B146" s="4">
        <v>2108</v>
      </c>
      <c r="C146" s="6">
        <f t="shared" si="5"/>
        <v>-1.553337892842984E-2</v>
      </c>
      <c r="D146" s="4">
        <f t="shared" si="4"/>
        <v>3291.463287678655</v>
      </c>
    </row>
    <row r="147" spans="1:4" x14ac:dyDescent="0.3">
      <c r="A147" s="1">
        <v>142</v>
      </c>
      <c r="B147" s="4">
        <v>2129.0048830000001</v>
      </c>
      <c r="C147" s="6">
        <f t="shared" si="5"/>
        <v>9.9150487946503465E-3</v>
      </c>
      <c r="D147" s="4">
        <f t="shared" si="4"/>
        <v>3376.3007649573633</v>
      </c>
    </row>
    <row r="148" spans="1:4" x14ac:dyDescent="0.3">
      <c r="A148" s="1">
        <v>143</v>
      </c>
      <c r="B148" s="4">
        <v>2063</v>
      </c>
      <c r="C148" s="6">
        <f t="shared" si="5"/>
        <v>-3.1493445384651438E-2</v>
      </c>
      <c r="D148" s="4">
        <f t="shared" si="4"/>
        <v>3239.3483004378813</v>
      </c>
    </row>
    <row r="149" spans="1:4" x14ac:dyDescent="0.3">
      <c r="A149" s="1">
        <v>144</v>
      </c>
      <c r="B149" s="4">
        <v>2111.8950199999999</v>
      </c>
      <c r="C149" s="6">
        <f t="shared" si="5"/>
        <v>2.3424424080100228E-2</v>
      </c>
      <c r="D149" s="4">
        <f t="shared" si="4"/>
        <v>3422.2219640285261</v>
      </c>
    </row>
    <row r="150" spans="1:4" x14ac:dyDescent="0.3">
      <c r="A150" s="1">
        <v>145</v>
      </c>
      <c r="B150" s="4">
        <v>2207.5729980000001</v>
      </c>
      <c r="C150" s="6">
        <f t="shared" si="5"/>
        <v>4.4308062956693331E-2</v>
      </c>
      <c r="D150" s="4">
        <f t="shared" si="4"/>
        <v>3494.4418944215754</v>
      </c>
    </row>
    <row r="151" spans="1:4" x14ac:dyDescent="0.3">
      <c r="A151" s="1">
        <v>146</v>
      </c>
      <c r="B151" s="4">
        <v>2245</v>
      </c>
      <c r="C151" s="6">
        <f t="shared" si="5"/>
        <v>1.681180006830928E-2</v>
      </c>
      <c r="D151" s="4">
        <f t="shared" si="4"/>
        <v>3399.666753647256</v>
      </c>
    </row>
    <row r="152" spans="1:4" x14ac:dyDescent="0.3">
      <c r="A152" s="1">
        <v>147</v>
      </c>
      <c r="B152" s="4">
        <v>2245</v>
      </c>
      <c r="C152" s="6">
        <f t="shared" si="5"/>
        <v>0</v>
      </c>
      <c r="D152" s="4">
        <f t="shared" si="4"/>
        <v>3342.98999</v>
      </c>
    </row>
    <row r="153" spans="1:4" x14ac:dyDescent="0.3">
      <c r="A153" s="1">
        <v>148</v>
      </c>
      <c r="B153" s="4">
        <v>2385.2390140000002</v>
      </c>
      <c r="C153" s="6">
        <f t="shared" si="5"/>
        <v>6.0593813638474783E-2</v>
      </c>
      <c r="D153" s="4">
        <f t="shared" si="4"/>
        <v>3551.8174376656889</v>
      </c>
    </row>
    <row r="154" spans="1:4" x14ac:dyDescent="0.3">
      <c r="A154" s="1">
        <v>149</v>
      </c>
      <c r="B154" s="4">
        <v>2424.0290530000002</v>
      </c>
      <c r="C154" s="6">
        <f t="shared" si="5"/>
        <v>1.613171886360559E-2</v>
      </c>
      <c r="D154" s="4">
        <f t="shared" si="4"/>
        <v>3397.3554901983416</v>
      </c>
    </row>
    <row r="155" spans="1:4" x14ac:dyDescent="0.3">
      <c r="A155" s="1">
        <v>150</v>
      </c>
      <c r="B155" s="4">
        <v>2447.7089839999999</v>
      </c>
      <c r="C155" s="6">
        <f t="shared" si="5"/>
        <v>9.7214248021357773E-3</v>
      </c>
      <c r="D155" s="4">
        <f t="shared" si="4"/>
        <v>3375.647095408418</v>
      </c>
    </row>
    <row r="156" spans="1:4" x14ac:dyDescent="0.3">
      <c r="A156" s="1">
        <v>151</v>
      </c>
      <c r="B156" s="4">
        <v>2391.3559570000002</v>
      </c>
      <c r="C156" s="6">
        <f t="shared" si="5"/>
        <v>-2.3291927409819033E-2</v>
      </c>
      <c r="D156" s="4">
        <f t="shared" si="4"/>
        <v>3266.0251194215789</v>
      </c>
    </row>
    <row r="157" spans="1:4" x14ac:dyDescent="0.3">
      <c r="A157" s="1">
        <v>152</v>
      </c>
      <c r="B157" s="4">
        <v>2434.8500979999999</v>
      </c>
      <c r="C157" s="6">
        <f t="shared" si="5"/>
        <v>1.8024642154653967E-2</v>
      </c>
      <c r="D157" s="4">
        <f t="shared" si="4"/>
        <v>3403.7925140077832</v>
      </c>
    </row>
    <row r="158" spans="1:4" x14ac:dyDescent="0.3">
      <c r="A158" s="1">
        <v>153</v>
      </c>
      <c r="B158" s="4">
        <v>2404.360107</v>
      </c>
      <c r="C158" s="6">
        <f t="shared" si="5"/>
        <v>-1.2601392863322243E-2</v>
      </c>
      <c r="D158" s="4">
        <f t="shared" si="4"/>
        <v>3301.1279736106076</v>
      </c>
    </row>
    <row r="159" spans="1:4" x14ac:dyDescent="0.3">
      <c r="A159" s="1">
        <v>154</v>
      </c>
      <c r="B159" s="4">
        <v>2372.8400879999999</v>
      </c>
      <c r="C159" s="6">
        <f t="shared" si="5"/>
        <v>-1.3196213313309529E-2</v>
      </c>
      <c r="D159" s="4">
        <f t="shared" si="4"/>
        <v>3299.1649790564084</v>
      </c>
    </row>
    <row r="160" spans="1:4" x14ac:dyDescent="0.3">
      <c r="A160" s="1">
        <v>155</v>
      </c>
      <c r="B160" s="4">
        <v>2291.830078</v>
      </c>
      <c r="C160" s="6">
        <f t="shared" si="5"/>
        <v>-3.4736927960681625E-2</v>
      </c>
      <c r="D160" s="4">
        <f t="shared" si="4"/>
        <v>3228.8585515228028</v>
      </c>
    </row>
    <row r="161" spans="1:4" x14ac:dyDescent="0.3">
      <c r="A161" s="1">
        <v>156</v>
      </c>
      <c r="B161" s="4">
        <v>2195.8701169999999</v>
      </c>
      <c r="C161" s="6">
        <f t="shared" si="5"/>
        <v>-4.2772282471937755E-2</v>
      </c>
      <c r="D161" s="4">
        <f t="shared" si="4"/>
        <v>3203.0174884855178</v>
      </c>
    </row>
    <row r="162" spans="1:4" x14ac:dyDescent="0.3">
      <c r="A162" s="1">
        <v>157</v>
      </c>
      <c r="B162" s="4">
        <v>2125.6298830000001</v>
      </c>
      <c r="C162" s="6">
        <f t="shared" si="5"/>
        <v>-3.2510202650629254E-2</v>
      </c>
      <c r="D162" s="4">
        <f t="shared" si="4"/>
        <v>3236.0563433606176</v>
      </c>
    </row>
    <row r="163" spans="1:4" x14ac:dyDescent="0.3">
      <c r="A163" s="1">
        <v>158</v>
      </c>
      <c r="B163" s="4">
        <v>2110.8999020000001</v>
      </c>
      <c r="C163" s="6">
        <f t="shared" si="5"/>
        <v>-6.9538235791967145E-3</v>
      </c>
      <c r="D163" s="4">
        <f t="shared" si="4"/>
        <v>3319.824066604911</v>
      </c>
    </row>
    <row r="164" spans="1:4" x14ac:dyDescent="0.3">
      <c r="A164" s="1">
        <v>159</v>
      </c>
      <c r="B164" s="4">
        <v>2185.5200199999999</v>
      </c>
      <c r="C164" s="6">
        <f t="shared" si="5"/>
        <v>3.473944525028487E-2</v>
      </c>
      <c r="D164" s="4">
        <f t="shared" si="4"/>
        <v>3461.1643796478793</v>
      </c>
    </row>
    <row r="165" spans="1:4" x14ac:dyDescent="0.3">
      <c r="A165" s="1">
        <v>160</v>
      </c>
      <c r="B165" s="4">
        <v>2113.1599120000001</v>
      </c>
      <c r="C165" s="6">
        <f t="shared" si="5"/>
        <v>-3.3669379808427415E-2</v>
      </c>
      <c r="D165" s="4">
        <f t="shared" si="4"/>
        <v>3232.3073540572195</v>
      </c>
    </row>
    <row r="166" spans="1:4" x14ac:dyDescent="0.3">
      <c r="A166" s="1">
        <v>161</v>
      </c>
      <c r="B166" s="4">
        <v>2162.360107</v>
      </c>
      <c r="C166" s="6">
        <f t="shared" si="5"/>
        <v>2.3015851480709712E-2</v>
      </c>
      <c r="D166" s="4">
        <f t="shared" si="4"/>
        <v>3420.824023504535</v>
      </c>
    </row>
    <row r="167" spans="1:4" x14ac:dyDescent="0.3">
      <c r="A167" s="1">
        <v>162</v>
      </c>
      <c r="B167" s="4">
        <v>2175</v>
      </c>
      <c r="C167" s="6">
        <f t="shared" si="5"/>
        <v>5.828397213888733E-3</v>
      </c>
      <c r="D167" s="4">
        <f t="shared" si="4"/>
        <v>3362.5311550616761</v>
      </c>
    </row>
    <row r="168" spans="1:4" x14ac:dyDescent="0.3">
      <c r="A168" s="1">
        <v>163</v>
      </c>
      <c r="B168" s="4">
        <v>2189.429932</v>
      </c>
      <c r="C168" s="6">
        <f t="shared" si="5"/>
        <v>6.6125403796981012E-3</v>
      </c>
      <c r="D168" s="4">
        <f t="shared" si="4"/>
        <v>3365.168894934428</v>
      </c>
    </row>
    <row r="169" spans="1:4" x14ac:dyDescent="0.3">
      <c r="A169" s="1">
        <v>164</v>
      </c>
      <c r="B169" s="4">
        <v>2178.5600589999999</v>
      </c>
      <c r="C169" s="6">
        <f t="shared" si="5"/>
        <v>-4.9770697555284408E-3</v>
      </c>
      <c r="D169" s="4">
        <f t="shared" si="4"/>
        <v>3326.3930319971569</v>
      </c>
    </row>
    <row r="170" spans="1:4" x14ac:dyDescent="0.3">
      <c r="A170" s="1">
        <v>165</v>
      </c>
      <c r="B170" s="4">
        <v>2256.889893</v>
      </c>
      <c r="C170" s="6">
        <f t="shared" si="5"/>
        <v>3.5323576810655108E-2</v>
      </c>
      <c r="D170" s="4">
        <f t="shared" si="4"/>
        <v>3463.1867456040477</v>
      </c>
    </row>
    <row r="171" spans="1:4" x14ac:dyDescent="0.3">
      <c r="A171" s="1">
        <v>166</v>
      </c>
      <c r="B171" s="4">
        <v>2297.530029</v>
      </c>
      <c r="C171" s="6">
        <f t="shared" si="5"/>
        <v>1.7846933480615092E-2</v>
      </c>
      <c r="D171" s="4">
        <f t="shared" si="4"/>
        <v>3403.1876842967504</v>
      </c>
    </row>
    <row r="172" spans="1:4" x14ac:dyDescent="0.3">
      <c r="A172" s="1">
        <v>167</v>
      </c>
      <c r="B172" s="4">
        <v>2252.25</v>
      </c>
      <c r="C172" s="6">
        <f t="shared" si="5"/>
        <v>-1.9904928906674779E-2</v>
      </c>
      <c r="D172" s="4">
        <f t="shared" si="4"/>
        <v>3277.1058963066553</v>
      </c>
    </row>
    <row r="173" spans="1:4" x14ac:dyDescent="0.3">
      <c r="A173" s="1">
        <v>168</v>
      </c>
      <c r="B173" s="4">
        <v>2164.4499510000001</v>
      </c>
      <c r="C173" s="6">
        <f t="shared" si="5"/>
        <v>-3.9763451577969594E-2</v>
      </c>
      <c r="D173" s="4">
        <f t="shared" si="4"/>
        <v>3212.6693395710913</v>
      </c>
    </row>
    <row r="174" spans="1:4" x14ac:dyDescent="0.3">
      <c r="A174" s="1">
        <v>169</v>
      </c>
      <c r="B174" s="4">
        <v>2192.719971</v>
      </c>
      <c r="C174" s="6">
        <f t="shared" si="5"/>
        <v>1.2976504108502641E-2</v>
      </c>
      <c r="D174" s="4">
        <f t="shared" si="4"/>
        <v>3386.6529972381377</v>
      </c>
    </row>
    <row r="175" spans="1:4" x14ac:dyDescent="0.3">
      <c r="A175" s="1">
        <v>170</v>
      </c>
      <c r="B175" s="4">
        <v>2134.540039</v>
      </c>
      <c r="C175" s="6">
        <f t="shared" si="5"/>
        <v>-2.6891584017039043E-2</v>
      </c>
      <c r="D175" s="4">
        <f t="shared" si="4"/>
        <v>3254.2896849600543</v>
      </c>
    </row>
    <row r="176" spans="1:4" x14ac:dyDescent="0.3">
      <c r="A176" s="1">
        <v>171</v>
      </c>
      <c r="B176" s="4">
        <v>2214.429932</v>
      </c>
      <c r="C176" s="6">
        <f t="shared" si="5"/>
        <v>3.6743818266722232E-2</v>
      </c>
      <c r="D176" s="4">
        <f t="shared" si="4"/>
        <v>3468.1088014167631</v>
      </c>
    </row>
    <row r="177" spans="1:4" x14ac:dyDescent="0.3">
      <c r="A177" s="1">
        <v>172</v>
      </c>
      <c r="B177" s="4">
        <v>2214.429932</v>
      </c>
      <c r="C177" s="6">
        <f t="shared" si="5"/>
        <v>0</v>
      </c>
      <c r="D177" s="4">
        <f t="shared" si="4"/>
        <v>3342.98999</v>
      </c>
    </row>
    <row r="178" spans="1:4" x14ac:dyDescent="0.3">
      <c r="A178" s="1">
        <v>173</v>
      </c>
      <c r="B178" s="4">
        <v>2331.820068</v>
      </c>
      <c r="C178" s="6">
        <f t="shared" si="5"/>
        <v>5.1654104377341109E-2</v>
      </c>
      <c r="D178" s="4">
        <f t="shared" si="4"/>
        <v>3520.2067282231442</v>
      </c>
    </row>
    <row r="179" spans="1:4" x14ac:dyDescent="0.3">
      <c r="A179" s="1">
        <v>174</v>
      </c>
      <c r="B179" s="4">
        <v>2361.0200199999999</v>
      </c>
      <c r="C179" s="6">
        <f t="shared" si="5"/>
        <v>1.2444629818312538E-2</v>
      </c>
      <c r="D179" s="4">
        <f t="shared" si="4"/>
        <v>3384.8522025197699</v>
      </c>
    </row>
    <row r="180" spans="1:4" x14ac:dyDescent="0.3">
      <c r="A180" s="1">
        <v>175</v>
      </c>
      <c r="B180" s="4">
        <v>2388.4399410000001</v>
      </c>
      <c r="C180" s="6">
        <f t="shared" si="5"/>
        <v>1.1546670936326935E-2</v>
      </c>
      <c r="D180" s="4">
        <f t="shared" si="4"/>
        <v>3381.8141086661312</v>
      </c>
    </row>
    <row r="181" spans="1:4" x14ac:dyDescent="0.3">
      <c r="A181" s="1">
        <v>176</v>
      </c>
      <c r="B181" s="4">
        <v>2362.7700199999999</v>
      </c>
      <c r="C181" s="6">
        <f t="shared" si="5"/>
        <v>-1.0805740427036513E-2</v>
      </c>
      <c r="D181" s="4">
        <f t="shared" si="4"/>
        <v>3307.060977311005</v>
      </c>
    </row>
    <row r="182" spans="1:4" x14ac:dyDescent="0.3">
      <c r="A182" s="1">
        <v>177</v>
      </c>
      <c r="B182" s="4">
        <v>2317.5</v>
      </c>
      <c r="C182" s="6">
        <f t="shared" si="5"/>
        <v>-1.9345649576699587E-2</v>
      </c>
      <c r="D182" s="4">
        <f t="shared" si="4"/>
        <v>3278.9392265206584</v>
      </c>
    </row>
    <row r="183" spans="1:4" x14ac:dyDescent="0.3">
      <c r="A183" s="1">
        <v>178</v>
      </c>
      <c r="B183" s="4">
        <v>2282.889893</v>
      </c>
      <c r="C183" s="6">
        <f t="shared" si="5"/>
        <v>-1.5046881157812216E-2</v>
      </c>
      <c r="D183" s="4">
        <f t="shared" si="4"/>
        <v>3293.064966805252</v>
      </c>
    </row>
    <row r="184" spans="1:4" x14ac:dyDescent="0.3">
      <c r="A184" s="1">
        <v>179</v>
      </c>
      <c r="B184" s="4">
        <v>2296.3000489999999</v>
      </c>
      <c r="C184" s="6">
        <f t="shared" si="5"/>
        <v>5.8570159813017327E-3</v>
      </c>
      <c r="D184" s="4">
        <f t="shared" si="4"/>
        <v>3362.6273879357482</v>
      </c>
    </row>
    <row r="185" spans="1:4" x14ac:dyDescent="0.3">
      <c r="A185" s="1">
        <v>180</v>
      </c>
      <c r="B185" s="4">
        <v>2299.3100589999999</v>
      </c>
      <c r="C185" s="6">
        <f t="shared" si="5"/>
        <v>1.3099503046108314E-3</v>
      </c>
      <c r="D185" s="4">
        <f t="shared" si="4"/>
        <v>3347.37201024347</v>
      </c>
    </row>
    <row r="186" spans="1:4" x14ac:dyDescent="0.3">
      <c r="A186" s="1">
        <v>181</v>
      </c>
      <c r="B186" s="4">
        <v>2333.830078</v>
      </c>
      <c r="C186" s="6">
        <f t="shared" si="5"/>
        <v>1.4901624714676771E-2</v>
      </c>
      <c r="D186" s="4">
        <f t="shared" si="4"/>
        <v>3393.1789923574288</v>
      </c>
    </row>
    <row r="187" spans="1:4" x14ac:dyDescent="0.3">
      <c r="A187" s="1">
        <v>182</v>
      </c>
      <c r="B187" s="4">
        <v>2328.3400879999999</v>
      </c>
      <c r="C187" s="6">
        <f t="shared" si="5"/>
        <v>-2.355123190313477E-3</v>
      </c>
      <c r="D187" s="4">
        <f t="shared" si="4"/>
        <v>3335.1261005985366</v>
      </c>
    </row>
    <row r="188" spans="1:4" x14ac:dyDescent="0.3">
      <c r="A188" s="1">
        <v>183</v>
      </c>
      <c r="B188" s="4">
        <v>2424.5</v>
      </c>
      <c r="C188" s="6">
        <f t="shared" si="5"/>
        <v>4.0469712452933196E-2</v>
      </c>
      <c r="D188" s="4">
        <f t="shared" si="4"/>
        <v>3481.0547104040588</v>
      </c>
    </row>
    <row r="189" spans="1:4" x14ac:dyDescent="0.3">
      <c r="A189" s="1">
        <v>184</v>
      </c>
      <c r="B189" s="4">
        <v>2521.110107</v>
      </c>
      <c r="C189" s="6">
        <f t="shared" si="5"/>
        <v>3.907400561100053E-2</v>
      </c>
      <c r="D189" s="4">
        <f t="shared" si="4"/>
        <v>3476.1995674938453</v>
      </c>
    </row>
    <row r="190" spans="1:4" x14ac:dyDescent="0.3">
      <c r="A190" s="1">
        <v>185</v>
      </c>
      <c r="B190" s="4">
        <v>2576.0200199999999</v>
      </c>
      <c r="C190" s="6">
        <f t="shared" si="5"/>
        <v>2.1546256776767161E-2</v>
      </c>
      <c r="D190" s="4">
        <f t="shared" si="4"/>
        <v>3415.8004908191019</v>
      </c>
    </row>
    <row r="191" spans="1:4" x14ac:dyDescent="0.3">
      <c r="A191" s="1">
        <v>186</v>
      </c>
      <c r="B191" s="4">
        <v>2516.3701169999999</v>
      </c>
      <c r="C191" s="6">
        <f t="shared" si="5"/>
        <v>-2.3428146605856983E-2</v>
      </c>
      <c r="D191" s="4">
        <f t="shared" si="4"/>
        <v>3265.580254405837</v>
      </c>
    </row>
    <row r="192" spans="1:4" x14ac:dyDescent="0.3">
      <c r="A192" s="1">
        <v>187</v>
      </c>
      <c r="B192" s="4">
        <v>2474.360107</v>
      </c>
      <c r="C192" s="6">
        <f t="shared" si="5"/>
        <v>-1.6835613378696421E-2</v>
      </c>
      <c r="D192" s="4">
        <f t="shared" si="4"/>
        <v>3287.1798204382862</v>
      </c>
    </row>
    <row r="193" spans="1:4" x14ac:dyDescent="0.3">
      <c r="A193" s="1">
        <v>188</v>
      </c>
      <c r="B193" s="4">
        <v>2352.110107</v>
      </c>
      <c r="C193" s="6">
        <f t="shared" si="5"/>
        <v>-5.0668976825174142E-2</v>
      </c>
      <c r="D193" s="4">
        <f t="shared" si="4"/>
        <v>3177.8238425498625</v>
      </c>
    </row>
    <row r="194" spans="1:4" x14ac:dyDescent="0.3">
      <c r="A194" s="1">
        <v>189</v>
      </c>
      <c r="B194" s="4">
        <v>2465.889893</v>
      </c>
      <c r="C194" s="6">
        <f t="shared" si="5"/>
        <v>4.7239910563448083E-2</v>
      </c>
      <c r="D194" s="4">
        <f t="shared" si="4"/>
        <v>3504.7020988550903</v>
      </c>
    </row>
    <row r="195" spans="1:4" x14ac:dyDescent="0.3">
      <c r="A195" s="1">
        <v>190</v>
      </c>
      <c r="B195" s="4">
        <v>2470.330078</v>
      </c>
      <c r="C195" s="6">
        <f t="shared" si="5"/>
        <v>1.7990228246042945E-3</v>
      </c>
      <c r="D195" s="4">
        <f t="shared" si="4"/>
        <v>3349.0095183053327</v>
      </c>
    </row>
    <row r="196" spans="1:4" x14ac:dyDescent="0.3">
      <c r="A196" s="1">
        <v>191</v>
      </c>
      <c r="B196" s="4">
        <v>2762.0600589999999</v>
      </c>
      <c r="C196" s="6">
        <f t="shared" si="5"/>
        <v>0.11162502297150503</v>
      </c>
      <c r="D196" s="4">
        <f t="shared" si="4"/>
        <v>3737.7754540767123</v>
      </c>
    </row>
    <row r="197" spans="1:4" x14ac:dyDescent="0.3">
      <c r="A197" s="1">
        <v>192</v>
      </c>
      <c r="B197" s="4">
        <v>2756.9099120000001</v>
      </c>
      <c r="C197" s="6">
        <f t="shared" si="5"/>
        <v>-1.866344090290439E-3</v>
      </c>
      <c r="D197" s="4">
        <f t="shared" si="4"/>
        <v>3336.7566389865315</v>
      </c>
    </row>
    <row r="198" spans="1:4" x14ac:dyDescent="0.3">
      <c r="A198" s="1">
        <v>193</v>
      </c>
      <c r="B198" s="4">
        <v>2789.639893</v>
      </c>
      <c r="C198" s="6">
        <f t="shared" si="5"/>
        <v>1.180206148305007E-2</v>
      </c>
      <c r="D198" s="4">
        <f t="shared" si="4"/>
        <v>3382.6779023179306</v>
      </c>
    </row>
    <row r="199" spans="1:4" x14ac:dyDescent="0.3">
      <c r="A199" s="1">
        <v>194</v>
      </c>
      <c r="B199" s="4">
        <v>2866.929932</v>
      </c>
      <c r="C199" s="6">
        <f t="shared" si="5"/>
        <v>2.7329230225175437E-2</v>
      </c>
      <c r="D199" s="4">
        <f t="shared" ref="D199:D262" si="6">$C$2*EXP(C199)</f>
        <v>3435.6112015592621</v>
      </c>
    </row>
    <row r="200" spans="1:4" x14ac:dyDescent="0.3">
      <c r="A200" s="1">
        <v>195</v>
      </c>
      <c r="B200" s="4">
        <v>2896.1999510000001</v>
      </c>
      <c r="C200" s="6">
        <f t="shared" ref="C200:C263" si="7">LN(B200/B199)</f>
        <v>1.0157768874841157E-2</v>
      </c>
      <c r="D200" s="4">
        <f t="shared" si="6"/>
        <v>3377.1203604118955</v>
      </c>
    </row>
    <row r="201" spans="1:4" x14ac:dyDescent="0.3">
      <c r="A201" s="1">
        <v>196</v>
      </c>
      <c r="B201" s="4">
        <v>2866.3999020000001</v>
      </c>
      <c r="C201" s="6">
        <f t="shared" si="7"/>
        <v>-1.0342663174264443E-2</v>
      </c>
      <c r="D201" s="4">
        <f t="shared" si="6"/>
        <v>3308.5927566618416</v>
      </c>
    </row>
    <row r="202" spans="1:4" x14ac:dyDescent="0.3">
      <c r="A202" s="1">
        <v>197</v>
      </c>
      <c r="B202" s="4">
        <v>2820.76001</v>
      </c>
      <c r="C202" s="6">
        <f t="shared" si="7"/>
        <v>-1.6050497087671273E-2</v>
      </c>
      <c r="D202" s="4">
        <f t="shared" si="6"/>
        <v>3289.761652253329</v>
      </c>
    </row>
    <row r="203" spans="1:4" x14ac:dyDescent="0.3">
      <c r="A203" s="1">
        <v>198</v>
      </c>
      <c r="B203" s="4">
        <v>2789.959961</v>
      </c>
      <c r="C203" s="6">
        <f t="shared" si="7"/>
        <v>-1.0979110897466449E-2</v>
      </c>
      <c r="D203" s="4">
        <f t="shared" si="6"/>
        <v>3306.4876802914509</v>
      </c>
    </row>
    <row r="204" spans="1:4" x14ac:dyDescent="0.3">
      <c r="A204" s="1">
        <v>199</v>
      </c>
      <c r="B204" s="4">
        <v>2861.169922</v>
      </c>
      <c r="C204" s="6">
        <f t="shared" si="7"/>
        <v>2.5203359990163442E-2</v>
      </c>
      <c r="D204" s="4">
        <f t="shared" si="6"/>
        <v>3428.3152957889642</v>
      </c>
    </row>
    <row r="205" spans="1:4" x14ac:dyDescent="0.3">
      <c r="A205" s="1">
        <v>200</v>
      </c>
      <c r="B205" s="4">
        <v>2804.7700199999999</v>
      </c>
      <c r="C205" s="6">
        <f t="shared" si="7"/>
        <v>-1.9909058515865247E-2</v>
      </c>
      <c r="D205" s="4">
        <f t="shared" si="6"/>
        <v>3277.0923631679711</v>
      </c>
    </row>
    <row r="206" spans="1:4" x14ac:dyDescent="0.3">
      <c r="A206" s="1">
        <v>201</v>
      </c>
      <c r="B206" s="4">
        <v>2836.8798830000001</v>
      </c>
      <c r="C206" s="6">
        <f t="shared" si="7"/>
        <v>1.1383269178761131E-2</v>
      </c>
      <c r="D206" s="4">
        <f t="shared" si="6"/>
        <v>3381.2615594420008</v>
      </c>
    </row>
    <row r="207" spans="1:4" x14ac:dyDescent="0.3">
      <c r="A207" s="1">
        <v>202</v>
      </c>
      <c r="B207" s="4">
        <v>2838.280029</v>
      </c>
      <c r="C207" s="6">
        <f t="shared" si="7"/>
        <v>4.9342963021984385E-4</v>
      </c>
      <c r="D207" s="4">
        <f t="shared" si="6"/>
        <v>3344.6399273451052</v>
      </c>
    </row>
    <row r="208" spans="1:4" x14ac:dyDescent="0.3">
      <c r="A208" s="1">
        <v>203</v>
      </c>
      <c r="B208" s="4">
        <v>2887.2299800000001</v>
      </c>
      <c r="C208" s="6">
        <f t="shared" si="7"/>
        <v>1.7099312937825156E-2</v>
      </c>
      <c r="D208" s="4">
        <f t="shared" si="6"/>
        <v>3400.6443421188937</v>
      </c>
    </row>
    <row r="209" spans="1:4" x14ac:dyDescent="0.3">
      <c r="A209" s="1">
        <v>204</v>
      </c>
      <c r="B209" s="4">
        <v>2836.719971</v>
      </c>
      <c r="C209" s="6">
        <f t="shared" si="7"/>
        <v>-1.7649113127886123E-2</v>
      </c>
      <c r="D209" s="4">
        <f t="shared" si="6"/>
        <v>3284.5067878818891</v>
      </c>
    </row>
    <row r="210" spans="1:4" x14ac:dyDescent="0.3">
      <c r="A210" s="1">
        <v>205</v>
      </c>
      <c r="B210" s="4">
        <v>2861.3999020000001</v>
      </c>
      <c r="C210" s="6">
        <f t="shared" si="7"/>
        <v>8.6625363736671512E-3</v>
      </c>
      <c r="D210" s="4">
        <f t="shared" si="6"/>
        <v>3372.0745535559181</v>
      </c>
    </row>
    <row r="211" spans="1:4" x14ac:dyDescent="0.3">
      <c r="A211" s="1">
        <v>206</v>
      </c>
      <c r="B211" s="4">
        <v>2792.790039</v>
      </c>
      <c r="C211" s="6">
        <f t="shared" si="7"/>
        <v>-2.4269871170239272E-2</v>
      </c>
      <c r="D211" s="4">
        <f t="shared" si="6"/>
        <v>3262.8326917964328</v>
      </c>
    </row>
    <row r="212" spans="1:4" x14ac:dyDescent="0.3">
      <c r="A212" s="1">
        <v>207</v>
      </c>
      <c r="B212" s="4">
        <v>2684.4499510000001</v>
      </c>
      <c r="C212" s="6">
        <f t="shared" si="7"/>
        <v>-3.9565263119484301E-2</v>
      </c>
      <c r="D212" s="4">
        <f t="shared" si="6"/>
        <v>3213.3061166539737</v>
      </c>
    </row>
    <row r="213" spans="1:4" x14ac:dyDescent="0.3">
      <c r="A213" s="1">
        <v>208</v>
      </c>
      <c r="B213" s="4">
        <v>2669.209961</v>
      </c>
      <c r="C213" s="6">
        <f t="shared" si="7"/>
        <v>-5.6933131412906365E-3</v>
      </c>
      <c r="D213" s="4">
        <f t="shared" si="6"/>
        <v>3324.0113780133165</v>
      </c>
    </row>
    <row r="214" spans="1:4" x14ac:dyDescent="0.3">
      <c r="A214" s="1">
        <v>209</v>
      </c>
      <c r="B214" s="4">
        <v>2673.2700199999999</v>
      </c>
      <c r="C214" s="6">
        <f t="shared" si="7"/>
        <v>1.5199157679763829E-3</v>
      </c>
      <c r="D214" s="4">
        <f t="shared" si="6"/>
        <v>3348.0749165490993</v>
      </c>
    </row>
    <row r="215" spans="1:4" x14ac:dyDescent="0.3">
      <c r="A215" s="1">
        <v>210</v>
      </c>
      <c r="B215" s="4">
        <v>2724.5200199999999</v>
      </c>
      <c r="C215" s="6">
        <f t="shared" si="7"/>
        <v>1.8989823513202123E-2</v>
      </c>
      <c r="D215" s="4">
        <f t="shared" si="6"/>
        <v>3407.0793770449718</v>
      </c>
    </row>
    <row r="216" spans="1:4" x14ac:dyDescent="0.3">
      <c r="A216" s="1">
        <v>211</v>
      </c>
      <c r="B216" s="4">
        <v>2624</v>
      </c>
      <c r="C216" s="6">
        <f t="shared" si="7"/>
        <v>-3.759240206944886E-2</v>
      </c>
      <c r="D216" s="4">
        <f t="shared" si="6"/>
        <v>3219.6517806318047</v>
      </c>
    </row>
    <row r="217" spans="1:4" x14ac:dyDescent="0.3">
      <c r="A217" s="1">
        <v>212</v>
      </c>
      <c r="B217" s="4">
        <v>2619.4799800000001</v>
      </c>
      <c r="C217" s="6">
        <f t="shared" si="7"/>
        <v>-1.7240539248113724E-3</v>
      </c>
      <c r="D217" s="4">
        <f t="shared" si="6"/>
        <v>3337.2314604212656</v>
      </c>
    </row>
    <row r="218" spans="1:4" x14ac:dyDescent="0.3">
      <c r="A218" s="1">
        <v>213</v>
      </c>
      <c r="B218" s="4">
        <v>2591.639893</v>
      </c>
      <c r="C218" s="6">
        <f t="shared" si="7"/>
        <v>-1.0684978488446002E-2</v>
      </c>
      <c r="D218" s="4">
        <f t="shared" si="6"/>
        <v>3307.4603685208049</v>
      </c>
    </row>
    <row r="219" spans="1:4" x14ac:dyDescent="0.3">
      <c r="A219" s="1">
        <v>214</v>
      </c>
      <c r="B219" s="4">
        <v>2563.2299800000001</v>
      </c>
      <c r="C219" s="6">
        <f t="shared" si="7"/>
        <v>-1.1022664527979887E-2</v>
      </c>
      <c r="D219" s="4">
        <f t="shared" si="6"/>
        <v>3306.3436738847499</v>
      </c>
    </row>
    <row r="220" spans="1:4" x14ac:dyDescent="0.3">
      <c r="A220" s="1">
        <v>215</v>
      </c>
      <c r="B220" s="4">
        <v>2578.6298830000001</v>
      </c>
      <c r="C220" s="6">
        <f t="shared" si="7"/>
        <v>5.9900306335057638E-3</v>
      </c>
      <c r="D220" s="4">
        <f t="shared" si="6"/>
        <v>3363.0746963968763</v>
      </c>
    </row>
    <row r="221" spans="1:4" x14ac:dyDescent="0.3">
      <c r="A221" s="1">
        <v>216</v>
      </c>
      <c r="B221" s="4">
        <v>2537.26001</v>
      </c>
      <c r="C221" s="6">
        <f t="shared" si="7"/>
        <v>-1.6173442218825402E-2</v>
      </c>
      <c r="D221" s="4">
        <f t="shared" si="6"/>
        <v>3289.3572169377126</v>
      </c>
    </row>
    <row r="222" spans="1:4" x14ac:dyDescent="0.3">
      <c r="A222" s="1">
        <v>217</v>
      </c>
      <c r="B222" s="4">
        <v>2545</v>
      </c>
      <c r="C222" s="6">
        <f t="shared" si="7"/>
        <v>3.0458874472003802E-3</v>
      </c>
      <c r="D222" s="4">
        <f t="shared" si="6"/>
        <v>3353.1878841814087</v>
      </c>
    </row>
    <row r="223" spans="1:4" x14ac:dyDescent="0.3">
      <c r="A223" s="1">
        <v>218</v>
      </c>
      <c r="B223" s="4">
        <v>2538.610107</v>
      </c>
      <c r="C223" s="6">
        <f t="shared" si="7"/>
        <v>-2.5139207101806493E-3</v>
      </c>
      <c r="D223" s="4">
        <f t="shared" si="6"/>
        <v>3334.5965328934494</v>
      </c>
    </row>
    <row r="224" spans="1:4" x14ac:dyDescent="0.3">
      <c r="A224" s="1">
        <v>219</v>
      </c>
      <c r="B224" s="4">
        <v>2585.469971</v>
      </c>
      <c r="C224" s="6">
        <f t="shared" si="7"/>
        <v>1.8290569106453363E-2</v>
      </c>
      <c r="D224" s="4">
        <f t="shared" si="6"/>
        <v>3404.6977945395024</v>
      </c>
    </row>
    <row r="225" spans="1:4" x14ac:dyDescent="0.3">
      <c r="A225" s="1">
        <v>220</v>
      </c>
      <c r="B225" s="4">
        <v>2581.9099120000001</v>
      </c>
      <c r="C225" s="6">
        <f t="shared" si="7"/>
        <v>-1.3778973653449144E-3</v>
      </c>
      <c r="D225" s="4">
        <f t="shared" si="6"/>
        <v>3338.3868649456385</v>
      </c>
    </row>
    <row r="226" spans="1:4" x14ac:dyDescent="0.3">
      <c r="A226" s="1">
        <v>221</v>
      </c>
      <c r="B226" s="4">
        <v>2654.6899410000001</v>
      </c>
      <c r="C226" s="6">
        <f t="shared" si="7"/>
        <v>2.7798463789969363E-2</v>
      </c>
      <c r="D226" s="4">
        <f t="shared" si="6"/>
        <v>3437.2236839364564</v>
      </c>
    </row>
    <row r="227" spans="1:4" x14ac:dyDescent="0.3">
      <c r="A227" s="1">
        <v>222</v>
      </c>
      <c r="B227" s="4">
        <v>2708.48999</v>
      </c>
      <c r="C227" s="6">
        <f t="shared" si="7"/>
        <v>2.0063415513036028E-2</v>
      </c>
      <c r="D227" s="4">
        <f t="shared" si="6"/>
        <v>3410.7391544092948</v>
      </c>
    </row>
    <row r="228" spans="1:4" x14ac:dyDescent="0.3">
      <c r="A228" s="1">
        <v>223</v>
      </c>
      <c r="B228" s="4">
        <v>2547.5500489999999</v>
      </c>
      <c r="C228" s="6">
        <f t="shared" si="7"/>
        <v>-6.1259148094741464E-2</v>
      </c>
      <c r="D228" s="4">
        <f t="shared" si="6"/>
        <v>3144.3477156181066</v>
      </c>
    </row>
    <row r="229" spans="1:4" x14ac:dyDescent="0.3">
      <c r="A229" s="1">
        <v>224</v>
      </c>
      <c r="B229" s="4">
        <v>2561.3999020000001</v>
      </c>
      <c r="C229" s="6">
        <f t="shared" si="7"/>
        <v>5.421813507829428E-3</v>
      </c>
      <c r="D229" s="4">
        <f t="shared" si="6"/>
        <v>3361.1642825757817</v>
      </c>
    </row>
    <row r="230" spans="1:4" x14ac:dyDescent="0.3">
      <c r="A230" s="1">
        <v>225</v>
      </c>
      <c r="B230" s="4">
        <v>2531.8798830000001</v>
      </c>
      <c r="C230" s="6">
        <f t="shared" si="7"/>
        <v>-1.1591882166329328E-2</v>
      </c>
      <c r="D230" s="4">
        <f t="shared" si="6"/>
        <v>3304.4621802876022</v>
      </c>
    </row>
    <row r="231" spans="1:4" x14ac:dyDescent="0.3">
      <c r="A231" s="1">
        <v>226</v>
      </c>
      <c r="B231" s="4">
        <v>2476.330078</v>
      </c>
      <c r="C231" s="6">
        <f t="shared" si="7"/>
        <v>-2.2184406660487578E-2</v>
      </c>
      <c r="D231" s="4">
        <f t="shared" si="6"/>
        <v>3269.6443138056716</v>
      </c>
    </row>
    <row r="232" spans="1:4" x14ac:dyDescent="0.3">
      <c r="A232" s="1">
        <v>227</v>
      </c>
      <c r="B232" s="4">
        <v>2447.5600589999999</v>
      </c>
      <c r="C232" s="6">
        <f t="shared" si="7"/>
        <v>-1.1686022883973692E-2</v>
      </c>
      <c r="D232" s="4">
        <f t="shared" si="6"/>
        <v>3304.1511104889182</v>
      </c>
    </row>
    <row r="233" spans="1:4" x14ac:dyDescent="0.3">
      <c r="A233" s="1">
        <v>228</v>
      </c>
      <c r="B233" s="4">
        <v>2376.1599120000001</v>
      </c>
      <c r="C233" s="6">
        <f t="shared" si="7"/>
        <v>-2.9605931772762304E-2</v>
      </c>
      <c r="D233" s="4">
        <f t="shared" si="6"/>
        <v>3245.4683885063682</v>
      </c>
    </row>
    <row r="234" spans="1:4" x14ac:dyDescent="0.3">
      <c r="A234" s="1">
        <v>229</v>
      </c>
      <c r="B234" s="4">
        <v>2360.1000979999999</v>
      </c>
      <c r="C234" s="6">
        <f t="shared" si="7"/>
        <v>-6.7816697211214669E-3</v>
      </c>
      <c r="D234" s="4">
        <f t="shared" si="6"/>
        <v>3320.3956363236625</v>
      </c>
    </row>
    <row r="235" spans="1:4" x14ac:dyDescent="0.3">
      <c r="A235" s="1">
        <v>230</v>
      </c>
      <c r="B235" s="4">
        <v>2296.4099120000001</v>
      </c>
      <c r="C235" s="6">
        <f t="shared" si="7"/>
        <v>-2.7357036921604978E-2</v>
      </c>
      <c r="D235" s="4">
        <f t="shared" si="6"/>
        <v>3252.7753188342867</v>
      </c>
    </row>
    <row r="236" spans="1:4" x14ac:dyDescent="0.3">
      <c r="A236" s="1">
        <v>231</v>
      </c>
      <c r="B236" s="4">
        <v>2350.8701169999999</v>
      </c>
      <c r="C236" s="6">
        <f t="shared" si="7"/>
        <v>2.3438526555767704E-2</v>
      </c>
      <c r="D236" s="4">
        <f t="shared" si="6"/>
        <v>3422.2702261708096</v>
      </c>
    </row>
    <row r="237" spans="1:4" x14ac:dyDescent="0.3">
      <c r="A237" s="1">
        <v>232</v>
      </c>
      <c r="B237" s="4">
        <v>2342.0900879999999</v>
      </c>
      <c r="C237" s="6">
        <f t="shared" si="7"/>
        <v>-3.7417914751309367E-3</v>
      </c>
      <c r="D237" s="4">
        <f t="shared" si="6"/>
        <v>3330.5045919992099</v>
      </c>
    </row>
    <row r="238" spans="1:4" x14ac:dyDescent="0.3">
      <c r="A238" s="1">
        <v>233</v>
      </c>
      <c r="B238" s="4">
        <v>2387.030029</v>
      </c>
      <c r="C238" s="6">
        <f t="shared" si="7"/>
        <v>1.9006196799923554E-2</v>
      </c>
      <c r="D238" s="4">
        <f t="shared" si="6"/>
        <v>3407.1351625891898</v>
      </c>
    </row>
    <row r="239" spans="1:4" x14ac:dyDescent="0.3">
      <c r="A239" s="1">
        <v>234</v>
      </c>
      <c r="B239" s="4">
        <v>2317.2299800000001</v>
      </c>
      <c r="C239" s="6">
        <f t="shared" si="7"/>
        <v>-2.9677429318496294E-2</v>
      </c>
      <c r="D239" s="4">
        <f t="shared" si="6"/>
        <v>3245.2363537768883</v>
      </c>
    </row>
    <row r="240" spans="1:4" x14ac:dyDescent="0.3">
      <c r="A240" s="1">
        <v>235</v>
      </c>
      <c r="B240" s="4">
        <v>2284.330078</v>
      </c>
      <c r="C240" s="6">
        <f t="shared" si="7"/>
        <v>-1.4299699320042918E-2</v>
      </c>
      <c r="D240" s="4">
        <f t="shared" si="6"/>
        <v>3295.5264045953345</v>
      </c>
    </row>
    <row r="241" spans="1:4" x14ac:dyDescent="0.3">
      <c r="A241" s="1">
        <v>236</v>
      </c>
      <c r="B241" s="4">
        <v>2318.1499020000001</v>
      </c>
      <c r="C241" s="6">
        <f t="shared" si="7"/>
        <v>1.4696612641278736E-2</v>
      </c>
      <c r="D241" s="4">
        <f t="shared" si="6"/>
        <v>3392.4834209994942</v>
      </c>
    </row>
    <row r="242" spans="1:4" x14ac:dyDescent="0.3">
      <c r="A242" s="1">
        <v>237</v>
      </c>
      <c r="B242" s="4">
        <v>2410.419922</v>
      </c>
      <c r="C242" s="6">
        <f t="shared" si="7"/>
        <v>3.903156231152604E-2</v>
      </c>
      <c r="D242" s="4">
        <f t="shared" si="6"/>
        <v>3476.0520292455963</v>
      </c>
    </row>
    <row r="243" spans="1:4" x14ac:dyDescent="0.3">
      <c r="A243" s="1">
        <v>238</v>
      </c>
      <c r="B243" s="4">
        <v>2434.6298830000001</v>
      </c>
      <c r="C243" s="6">
        <f t="shared" si="7"/>
        <v>9.9937723955490221E-3</v>
      </c>
      <c r="D243" s="4">
        <f t="shared" si="6"/>
        <v>3376.5665699737242</v>
      </c>
    </row>
    <row r="244" spans="1:4" x14ac:dyDescent="0.3">
      <c r="A244" s="1">
        <v>239</v>
      </c>
      <c r="B244" s="4">
        <v>2421.2299800000001</v>
      </c>
      <c r="C244" s="6">
        <f t="shared" si="7"/>
        <v>-5.519078965093684E-3</v>
      </c>
      <c r="D244" s="4">
        <f t="shared" si="6"/>
        <v>3324.5905848547823</v>
      </c>
    </row>
    <row r="245" spans="1:4" x14ac:dyDescent="0.3">
      <c r="A245" s="1">
        <v>240</v>
      </c>
      <c r="B245" s="4">
        <v>2295.9499510000001</v>
      </c>
      <c r="C245" s="6">
        <f t="shared" si="7"/>
        <v>-5.3128987373723999E-2</v>
      </c>
      <c r="D245" s="4">
        <f t="shared" si="6"/>
        <v>3170.0159700376707</v>
      </c>
    </row>
    <row r="246" spans="1:4" x14ac:dyDescent="0.3">
      <c r="A246" s="1">
        <v>241</v>
      </c>
      <c r="B246" s="4">
        <v>2278.110107</v>
      </c>
      <c r="C246" s="6">
        <f t="shared" si="7"/>
        <v>-7.8004810749577862E-3</v>
      </c>
      <c r="D246" s="4">
        <f t="shared" si="6"/>
        <v>3317.0145022115203</v>
      </c>
    </row>
    <row r="247" spans="1:4" x14ac:dyDescent="0.3">
      <c r="A247" s="1">
        <v>242</v>
      </c>
      <c r="B247" s="4">
        <v>2258.209961</v>
      </c>
      <c r="C247" s="6">
        <f t="shared" si="7"/>
        <v>-8.773752009932986E-3</v>
      </c>
      <c r="D247" s="4">
        <f t="shared" si="6"/>
        <v>3313.7877189275341</v>
      </c>
    </row>
    <row r="248" spans="1:4" x14ac:dyDescent="0.3">
      <c r="A248" s="1">
        <v>243</v>
      </c>
      <c r="B248" s="4">
        <v>2262.8100589999999</v>
      </c>
      <c r="C248" s="6">
        <f t="shared" si="7"/>
        <v>2.0349830644974202E-3</v>
      </c>
      <c r="D248" s="4">
        <f t="shared" si="6"/>
        <v>3349.7998446338042</v>
      </c>
    </row>
    <row r="249" spans="1:4" x14ac:dyDescent="0.3">
      <c r="A249" s="1">
        <v>244</v>
      </c>
      <c r="B249" s="4">
        <v>2252.3100589999999</v>
      </c>
      <c r="C249" s="6">
        <f t="shared" si="7"/>
        <v>-4.6510474378503005E-3</v>
      </c>
      <c r="D249" s="4">
        <f t="shared" si="6"/>
        <v>3327.4776871642453</v>
      </c>
    </row>
    <row r="250" spans="1:4" x14ac:dyDescent="0.3">
      <c r="A250" s="1">
        <v>245</v>
      </c>
      <c r="B250" s="4">
        <v>2152.1298830000001</v>
      </c>
      <c r="C250" s="6">
        <f t="shared" si="7"/>
        <v>-4.5498387384362508E-2</v>
      </c>
      <c r="D250" s="4">
        <f t="shared" si="6"/>
        <v>3194.2976178169579</v>
      </c>
    </row>
    <row r="251" spans="1:4" x14ac:dyDescent="0.3">
      <c r="A251" s="1">
        <v>246</v>
      </c>
      <c r="B251" s="4">
        <v>2281.4499510000001</v>
      </c>
      <c r="C251" s="6">
        <f t="shared" si="7"/>
        <v>5.8353189228895527E-2</v>
      </c>
      <c r="D251" s="4">
        <f t="shared" si="6"/>
        <v>3543.8680579293787</v>
      </c>
    </row>
    <row r="252" spans="1:4" x14ac:dyDescent="0.3">
      <c r="A252" s="1">
        <v>247</v>
      </c>
      <c r="B252" s="4">
        <v>2324.1000979999999</v>
      </c>
      <c r="C252" s="6">
        <f t="shared" si="7"/>
        <v>1.8521725229614816E-2</v>
      </c>
      <c r="D252" s="4">
        <f t="shared" si="6"/>
        <v>3405.484902251103</v>
      </c>
    </row>
    <row r="253" spans="1:4" x14ac:dyDescent="0.3">
      <c r="A253" s="1">
        <v>248</v>
      </c>
      <c r="B253" s="4">
        <v>2306.820068</v>
      </c>
      <c r="C253" s="6">
        <f t="shared" si="7"/>
        <v>-7.4629272722698007E-3</v>
      </c>
      <c r="D253" s="4">
        <f t="shared" si="6"/>
        <v>3318.1343620661555</v>
      </c>
    </row>
    <row r="254" spans="1:4" x14ac:dyDescent="0.3">
      <c r="A254" s="1">
        <v>249</v>
      </c>
      <c r="B254" s="4">
        <v>2315.1899410000001</v>
      </c>
      <c r="C254" s="6">
        <f t="shared" si="7"/>
        <v>3.6217499021938449E-3</v>
      </c>
      <c r="D254" s="4">
        <f t="shared" si="6"/>
        <v>3355.1194152831913</v>
      </c>
    </row>
    <row r="255" spans="1:4" x14ac:dyDescent="0.3">
      <c r="A255" s="1">
        <v>250</v>
      </c>
      <c r="B255" s="4">
        <v>2377.1298830000001</v>
      </c>
      <c r="C255" s="6">
        <f t="shared" si="7"/>
        <v>2.6402096329646043E-2</v>
      </c>
      <c r="D255" s="4">
        <f t="shared" si="6"/>
        <v>3432.4274060928424</v>
      </c>
    </row>
    <row r="256" spans="1:4" x14ac:dyDescent="0.3">
      <c r="A256" s="1">
        <v>251</v>
      </c>
      <c r="B256" s="4">
        <v>2389.1599120000001</v>
      </c>
      <c r="C256" s="6">
        <f t="shared" si="7"/>
        <v>5.04797444688403E-3</v>
      </c>
      <c r="D256" s="4">
        <f t="shared" si="6"/>
        <v>3359.9079829182738</v>
      </c>
    </row>
    <row r="257" spans="1:4" x14ac:dyDescent="0.3">
      <c r="A257" s="1">
        <v>252</v>
      </c>
      <c r="B257" s="4">
        <v>2399.429932</v>
      </c>
      <c r="C257" s="6">
        <f t="shared" si="7"/>
        <v>4.2893779091013979E-3</v>
      </c>
      <c r="D257" s="4">
        <f t="shared" si="6"/>
        <v>3357.3601348717007</v>
      </c>
    </row>
    <row r="258" spans="1:4" x14ac:dyDescent="0.3">
      <c r="A258" s="1">
        <v>253</v>
      </c>
      <c r="B258" s="4">
        <v>2307.7700199999999</v>
      </c>
      <c r="C258" s="6">
        <f t="shared" si="7"/>
        <v>-3.8949481839293504E-2</v>
      </c>
      <c r="D258" s="4">
        <f t="shared" si="6"/>
        <v>3215.2854197544866</v>
      </c>
    </row>
    <row r="259" spans="1:4" x14ac:dyDescent="0.3">
      <c r="A259" s="1">
        <v>254</v>
      </c>
      <c r="B259" s="4">
        <v>2201.889893</v>
      </c>
      <c r="C259" s="6">
        <f t="shared" si="7"/>
        <v>-4.6965665095591268E-2</v>
      </c>
      <c r="D259" s="4">
        <f t="shared" si="6"/>
        <v>3189.6141329460424</v>
      </c>
    </row>
    <row r="260" spans="1:4" x14ac:dyDescent="0.3">
      <c r="A260" s="1">
        <v>255</v>
      </c>
      <c r="B260" s="4">
        <v>2043.0699460000001</v>
      </c>
      <c r="C260" s="6">
        <f t="shared" si="7"/>
        <v>-7.486248171543379E-2</v>
      </c>
      <c r="D260" s="4">
        <f t="shared" si="6"/>
        <v>3101.8637217332653</v>
      </c>
    </row>
    <row r="261" spans="1:4" x14ac:dyDescent="0.3">
      <c r="A261" s="1">
        <v>256</v>
      </c>
      <c r="B261" s="4">
        <v>2026.9300539999999</v>
      </c>
      <c r="C261" s="6">
        <f t="shared" si="7"/>
        <v>-7.9311924348768048E-3</v>
      </c>
      <c r="D261" s="4">
        <f t="shared" si="6"/>
        <v>3316.5809590701892</v>
      </c>
    </row>
    <row r="262" spans="1:4" x14ac:dyDescent="0.3">
      <c r="A262" s="1">
        <v>257</v>
      </c>
      <c r="B262" s="4">
        <v>1909.280029</v>
      </c>
      <c r="C262" s="6">
        <f t="shared" si="7"/>
        <v>-5.9796136892868584E-2</v>
      </c>
      <c r="D262" s="4">
        <f t="shared" si="6"/>
        <v>3148.9512982740102</v>
      </c>
    </row>
    <row r="263" spans="1:4" x14ac:dyDescent="0.3">
      <c r="A263" s="1">
        <v>258</v>
      </c>
      <c r="B263" s="4">
        <v>1763.880005</v>
      </c>
      <c r="C263" s="6">
        <f t="shared" si="7"/>
        <v>-7.9210291933760724E-2</v>
      </c>
      <c r="D263" s="4">
        <f t="shared" ref="D263:D326" si="8">$C$2*EXP(C263)</f>
        <v>3088.4066824731603</v>
      </c>
    </row>
    <row r="264" spans="1:4" x14ac:dyDescent="0.3">
      <c r="A264" s="1">
        <v>259</v>
      </c>
      <c r="B264" s="4">
        <v>1773.829956</v>
      </c>
      <c r="C264" s="6">
        <f t="shared" ref="C264:C327" si="9">LN(B264/B263)</f>
        <v>5.6250949601770071E-3</v>
      </c>
      <c r="D264" s="4">
        <f t="shared" si="8"/>
        <v>3361.8476143847106</v>
      </c>
    </row>
    <row r="265" spans="1:4" x14ac:dyDescent="0.3">
      <c r="A265" s="1">
        <v>260</v>
      </c>
      <c r="B265" s="4">
        <v>1761.6899410000001</v>
      </c>
      <c r="C265" s="6">
        <f t="shared" si="9"/>
        <v>-6.8674837456765116E-3</v>
      </c>
      <c r="D265" s="4">
        <f t="shared" si="8"/>
        <v>3320.1107120364195</v>
      </c>
    </row>
    <row r="266" spans="1:4" x14ac:dyDescent="0.3">
      <c r="A266" s="1">
        <v>261</v>
      </c>
      <c r="B266" s="4">
        <v>1770.040039</v>
      </c>
      <c r="C266" s="6">
        <f t="shared" si="9"/>
        <v>4.7286251249237217E-3</v>
      </c>
      <c r="D266" s="4">
        <f t="shared" si="8"/>
        <v>3358.8351698922534</v>
      </c>
    </row>
    <row r="267" spans="1:4" x14ac:dyDescent="0.3">
      <c r="A267" s="1">
        <v>262</v>
      </c>
      <c r="B267" s="4">
        <v>1688.76001</v>
      </c>
      <c r="C267" s="6">
        <f t="shared" si="9"/>
        <v>-4.7007629497999685E-2</v>
      </c>
      <c r="D267" s="4">
        <f t="shared" si="8"/>
        <v>3189.4802855034736</v>
      </c>
    </row>
    <row r="268" spans="1:4" x14ac:dyDescent="0.3">
      <c r="A268" s="1">
        <v>263</v>
      </c>
      <c r="B268" s="4">
        <v>1863.23999</v>
      </c>
      <c r="C268" s="6">
        <f t="shared" si="9"/>
        <v>9.8322364696102463E-2</v>
      </c>
      <c r="D268" s="4">
        <f t="shared" si="8"/>
        <v>3688.382362593783</v>
      </c>
    </row>
    <row r="269" spans="1:4" x14ac:dyDescent="0.3">
      <c r="A269" s="1">
        <v>264</v>
      </c>
      <c r="B269" s="4">
        <v>1964.1099850000001</v>
      </c>
      <c r="C269" s="6">
        <f t="shared" si="9"/>
        <v>5.2722306441522732E-2</v>
      </c>
      <c r="D269" s="4">
        <f t="shared" si="8"/>
        <v>3523.9690294077741</v>
      </c>
    </row>
    <row r="270" spans="1:4" x14ac:dyDescent="0.3">
      <c r="A270" s="1">
        <v>265</v>
      </c>
      <c r="B270" s="4">
        <v>1904.670044</v>
      </c>
      <c r="C270" s="6">
        <f t="shared" si="9"/>
        <v>-3.0730420545910245E-2</v>
      </c>
      <c r="D270" s="4">
        <f t="shared" si="8"/>
        <v>3241.8209468778091</v>
      </c>
    </row>
    <row r="271" spans="1:4" x14ac:dyDescent="0.3">
      <c r="A271" s="1">
        <v>266</v>
      </c>
      <c r="B271" s="4">
        <v>1915.630005</v>
      </c>
      <c r="C271" s="6">
        <f t="shared" si="9"/>
        <v>5.7377645357737954E-3</v>
      </c>
      <c r="D271" s="4">
        <f t="shared" si="8"/>
        <v>3362.2264136678209</v>
      </c>
    </row>
    <row r="272" spans="1:4" x14ac:dyDescent="0.3">
      <c r="A272" s="1">
        <v>267</v>
      </c>
      <c r="B272" s="4">
        <v>1884.030029</v>
      </c>
      <c r="C272" s="6">
        <f t="shared" si="9"/>
        <v>-1.6633437876524965E-2</v>
      </c>
      <c r="D272" s="4">
        <f t="shared" si="8"/>
        <v>3287.8444748553675</v>
      </c>
    </row>
    <row r="273" spans="1:4" x14ac:dyDescent="0.3">
      <c r="A273" s="1">
        <v>268</v>
      </c>
      <c r="B273" s="4">
        <v>1838.6999510000001</v>
      </c>
      <c r="C273" s="6">
        <f t="shared" si="9"/>
        <v>-2.4354341458412438E-2</v>
      </c>
      <c r="D273" s="4">
        <f t="shared" si="8"/>
        <v>3262.5570910188985</v>
      </c>
    </row>
    <row r="274" spans="1:4" x14ac:dyDescent="0.3">
      <c r="A274" s="1">
        <v>269</v>
      </c>
      <c r="B274" s="4">
        <v>1831.0500489999999</v>
      </c>
      <c r="C274" s="6">
        <f t="shared" si="9"/>
        <v>-4.169173966012526E-3</v>
      </c>
      <c r="D274" s="4">
        <f t="shared" si="8"/>
        <v>3329.0814967754409</v>
      </c>
    </row>
    <row r="275" spans="1:4" x14ac:dyDescent="0.3">
      <c r="A275" s="1">
        <v>270</v>
      </c>
      <c r="B275" s="4">
        <v>1807</v>
      </c>
      <c r="C275" s="6">
        <f t="shared" si="9"/>
        <v>-1.3221587952291333E-2</v>
      </c>
      <c r="D275" s="4">
        <f t="shared" si="8"/>
        <v>3299.0812649982349</v>
      </c>
    </row>
    <row r="276" spans="1:4" x14ac:dyDescent="0.3">
      <c r="A276" s="1">
        <v>271</v>
      </c>
      <c r="B276" s="4">
        <v>1822.410034</v>
      </c>
      <c r="C276" s="6">
        <f t="shared" si="9"/>
        <v>8.4918080117826426E-3</v>
      </c>
      <c r="D276" s="4">
        <f t="shared" si="8"/>
        <v>3371.4988939333475</v>
      </c>
    </row>
    <row r="277" spans="1:4" x14ac:dyDescent="0.3">
      <c r="A277" s="1">
        <v>272</v>
      </c>
      <c r="B277" s="4">
        <v>1857.660034</v>
      </c>
      <c r="C277" s="6">
        <f t="shared" si="9"/>
        <v>1.9157829862187975E-2</v>
      </c>
      <c r="D277" s="4">
        <f t="shared" si="8"/>
        <v>3407.6518360988453</v>
      </c>
    </row>
    <row r="278" spans="1:4" x14ac:dyDescent="0.3">
      <c r="A278" s="1">
        <v>273</v>
      </c>
      <c r="B278" s="4">
        <v>1809.4300539999999</v>
      </c>
      <c r="C278" s="6">
        <f t="shared" si="9"/>
        <v>-2.6305741086559004E-2</v>
      </c>
      <c r="D278" s="4">
        <f t="shared" si="8"/>
        <v>3256.1967461303307</v>
      </c>
    </row>
    <row r="279" spans="1:4" x14ac:dyDescent="0.3">
      <c r="A279" s="1">
        <v>274</v>
      </c>
      <c r="B279" s="4">
        <v>1808.410034</v>
      </c>
      <c r="C279" s="6">
        <f t="shared" si="9"/>
        <v>-5.6388342337781127E-4</v>
      </c>
      <c r="D279" s="4">
        <f t="shared" si="8"/>
        <v>3341.1054647363339</v>
      </c>
    </row>
    <row r="280" spans="1:4" x14ac:dyDescent="0.3">
      <c r="A280" s="1">
        <v>275</v>
      </c>
      <c r="B280" s="4">
        <v>1778.5500489999999</v>
      </c>
      <c r="C280" s="6">
        <f t="shared" si="9"/>
        <v>-1.6649571833540853E-2</v>
      </c>
      <c r="D280" s="4">
        <f t="shared" si="8"/>
        <v>3287.7914293418535</v>
      </c>
    </row>
    <row r="281" spans="1:4" x14ac:dyDescent="0.3">
      <c r="A281" s="1">
        <v>276</v>
      </c>
      <c r="B281" s="4">
        <v>1848.98999</v>
      </c>
      <c r="C281" s="6">
        <f t="shared" si="9"/>
        <v>3.8841085512593805E-2</v>
      </c>
      <c r="D281" s="4">
        <f t="shared" si="8"/>
        <v>3475.3899850361763</v>
      </c>
    </row>
    <row r="282" spans="1:4" x14ac:dyDescent="0.3">
      <c r="A282" s="1">
        <v>277</v>
      </c>
      <c r="B282" s="4">
        <v>1829.709961</v>
      </c>
      <c r="C282" s="6">
        <f t="shared" si="9"/>
        <v>-1.0482075617745723E-2</v>
      </c>
      <c r="D282" s="4">
        <f t="shared" si="8"/>
        <v>3308.131529812279</v>
      </c>
    </row>
    <row r="283" spans="1:4" x14ac:dyDescent="0.3">
      <c r="A283" s="1">
        <v>278</v>
      </c>
      <c r="B283" s="4">
        <v>1822.709961</v>
      </c>
      <c r="C283" s="6">
        <f t="shared" si="9"/>
        <v>-3.8330798320640432E-3</v>
      </c>
      <c r="D283" s="4">
        <f t="shared" si="8"/>
        <v>3330.2005695843127</v>
      </c>
    </row>
    <row r="284" spans="1:4" x14ac:dyDescent="0.3">
      <c r="A284" s="1">
        <v>279</v>
      </c>
      <c r="B284" s="4">
        <v>1794.8199460000001</v>
      </c>
      <c r="C284" s="6">
        <f t="shared" si="9"/>
        <v>-1.5419674929471373E-2</v>
      </c>
      <c r="D284" s="4">
        <f t="shared" si="8"/>
        <v>3291.8375614947004</v>
      </c>
    </row>
    <row r="285" spans="1:4" x14ac:dyDescent="0.3">
      <c r="A285" s="1">
        <v>280</v>
      </c>
      <c r="B285" s="4">
        <v>1748.920044</v>
      </c>
      <c r="C285" s="6">
        <f t="shared" si="9"/>
        <v>-2.5906228548272944E-2</v>
      </c>
      <c r="D285" s="4">
        <f t="shared" si="8"/>
        <v>3257.4978974533637</v>
      </c>
    </row>
    <row r="286" spans="1:4" x14ac:dyDescent="0.3">
      <c r="A286" s="1">
        <v>281</v>
      </c>
      <c r="B286" s="4">
        <v>1738.790039</v>
      </c>
      <c r="C286" s="6">
        <f t="shared" si="9"/>
        <v>-5.8089882729791967E-3</v>
      </c>
      <c r="D286" s="4">
        <f t="shared" si="8"/>
        <v>3323.6268947974327</v>
      </c>
    </row>
    <row r="287" spans="1:4" x14ac:dyDescent="0.3">
      <c r="A287" s="1">
        <v>282</v>
      </c>
      <c r="B287" s="4">
        <v>1773.780029</v>
      </c>
      <c r="C287" s="6">
        <f t="shared" si="9"/>
        <v>1.9923387564946032E-2</v>
      </c>
      <c r="D287" s="4">
        <f t="shared" si="8"/>
        <v>3410.2615890410621</v>
      </c>
    </row>
    <row r="288" spans="1:4" x14ac:dyDescent="0.3">
      <c r="A288" s="1">
        <v>283</v>
      </c>
      <c r="B288" s="4">
        <v>1765.0500489999999</v>
      </c>
      <c r="C288" s="6">
        <f t="shared" si="9"/>
        <v>-4.9338326604276266E-3</v>
      </c>
      <c r="D288" s="4">
        <f t="shared" si="8"/>
        <v>3326.5368586783256</v>
      </c>
    </row>
    <row r="289" spans="1:4" x14ac:dyDescent="0.3">
      <c r="A289" s="1">
        <v>284</v>
      </c>
      <c r="B289" s="4">
        <v>1811.650024</v>
      </c>
      <c r="C289" s="6">
        <f t="shared" si="9"/>
        <v>2.6058999121159915E-2</v>
      </c>
      <c r="D289" s="4">
        <f t="shared" si="8"/>
        <v>3431.2499518336658</v>
      </c>
    </row>
    <row r="290" spans="1:4" x14ac:dyDescent="0.3">
      <c r="A290" s="1">
        <v>285</v>
      </c>
      <c r="B290" s="4">
        <v>1802.599976</v>
      </c>
      <c r="C290" s="6">
        <f t="shared" si="9"/>
        <v>-5.007991652253024E-3</v>
      </c>
      <c r="D290" s="4">
        <f t="shared" si="8"/>
        <v>3326.2901752056277</v>
      </c>
    </row>
    <row r="291" spans="1:4" x14ac:dyDescent="0.3">
      <c r="A291" s="1">
        <v>286</v>
      </c>
      <c r="B291" s="4">
        <v>1741.3599850000001</v>
      </c>
      <c r="C291" s="6">
        <f t="shared" si="9"/>
        <v>-3.4563645315582654E-2</v>
      </c>
      <c r="D291" s="4">
        <f t="shared" si="8"/>
        <v>3229.4181051523274</v>
      </c>
    </row>
    <row r="292" spans="1:4" x14ac:dyDescent="0.3">
      <c r="A292" s="1">
        <v>287</v>
      </c>
      <c r="B292" s="4">
        <v>1738.619995</v>
      </c>
      <c r="C292" s="6">
        <f t="shared" si="9"/>
        <v>-1.5747162810995463E-3</v>
      </c>
      <c r="D292" s="4">
        <f t="shared" si="8"/>
        <v>3337.7298719189589</v>
      </c>
    </row>
    <row r="293" spans="1:4" x14ac:dyDescent="0.3">
      <c r="A293" s="1">
        <v>288</v>
      </c>
      <c r="B293" s="4">
        <v>1681.4300539999999</v>
      </c>
      <c r="C293" s="6">
        <f t="shared" si="9"/>
        <v>-3.3447038279684767E-2</v>
      </c>
      <c r="D293" s="4">
        <f t="shared" si="8"/>
        <v>3233.026110117386</v>
      </c>
    </row>
    <row r="294" spans="1:4" x14ac:dyDescent="0.3">
      <c r="A294" s="1">
        <v>289</v>
      </c>
      <c r="B294" s="4">
        <v>1684.349976</v>
      </c>
      <c r="C294" s="6">
        <f t="shared" si="9"/>
        <v>1.7350645059967984E-3</v>
      </c>
      <c r="D294" s="4">
        <f t="shared" si="8"/>
        <v>3348.7953281372361</v>
      </c>
    </row>
    <row r="295" spans="1:4" x14ac:dyDescent="0.3">
      <c r="A295" s="1">
        <v>290</v>
      </c>
      <c r="B295" s="4">
        <v>1704.75</v>
      </c>
      <c r="C295" s="6">
        <f t="shared" si="9"/>
        <v>1.2038753962925084E-2</v>
      </c>
      <c r="D295" s="4">
        <f t="shared" si="8"/>
        <v>3383.4786515011656</v>
      </c>
    </row>
    <row r="296" spans="1:4" x14ac:dyDescent="0.3">
      <c r="A296" s="1">
        <v>291</v>
      </c>
      <c r="B296" s="4">
        <v>1633.48999</v>
      </c>
      <c r="C296" s="6">
        <f t="shared" si="9"/>
        <v>-4.2699648324541283E-2</v>
      </c>
      <c r="D296" s="4">
        <f t="shared" si="8"/>
        <v>3203.2501453792052</v>
      </c>
    </row>
    <row r="297" spans="1:4" x14ac:dyDescent="0.3">
      <c r="A297" s="1">
        <v>292</v>
      </c>
      <c r="B297" s="4">
        <v>1650.369995</v>
      </c>
      <c r="C297" s="6">
        <f t="shared" si="9"/>
        <v>1.0280678074449674E-2</v>
      </c>
      <c r="D297" s="4">
        <f t="shared" si="8"/>
        <v>3377.535465081944</v>
      </c>
    </row>
    <row r="298" spans="1:4" x14ac:dyDescent="0.3">
      <c r="A298" s="1">
        <v>293</v>
      </c>
      <c r="B298" s="4">
        <v>1664.5699460000001</v>
      </c>
      <c r="C298" s="6">
        <f t="shared" si="9"/>
        <v>8.5672972103973399E-3</v>
      </c>
      <c r="D298" s="4">
        <f t="shared" si="8"/>
        <v>3371.7534152896669</v>
      </c>
    </row>
    <row r="299" spans="1:4" x14ac:dyDescent="0.3">
      <c r="A299" s="1">
        <v>294</v>
      </c>
      <c r="B299" s="4">
        <v>1622.089966</v>
      </c>
      <c r="C299" s="6">
        <f t="shared" si="9"/>
        <v>-2.5851379132651262E-2</v>
      </c>
      <c r="D299" s="4">
        <f t="shared" si="8"/>
        <v>3257.6765742095408</v>
      </c>
    </row>
    <row r="300" spans="1:4" x14ac:dyDescent="0.3">
      <c r="A300" s="1">
        <v>295</v>
      </c>
      <c r="B300" s="4">
        <v>1592.670044</v>
      </c>
      <c r="C300" s="6">
        <f t="shared" si="9"/>
        <v>-1.8303539460487628E-2</v>
      </c>
      <c r="D300" s="4">
        <f t="shared" si="8"/>
        <v>3282.3580233310313</v>
      </c>
    </row>
    <row r="301" spans="1:4" x14ac:dyDescent="0.3">
      <c r="A301" s="1">
        <v>296</v>
      </c>
      <c r="B301" s="4">
        <v>1641</v>
      </c>
      <c r="C301" s="6">
        <f t="shared" si="9"/>
        <v>2.9893931322161674E-2</v>
      </c>
      <c r="D301" s="4">
        <f t="shared" si="8"/>
        <v>3444.4338262382739</v>
      </c>
    </row>
    <row r="302" spans="1:4" x14ac:dyDescent="0.3">
      <c r="A302" s="1">
        <v>297</v>
      </c>
      <c r="B302" s="4">
        <v>1634.3000489999999</v>
      </c>
      <c r="C302" s="6">
        <f t="shared" si="9"/>
        <v>-4.0912040088237275E-3</v>
      </c>
      <c r="D302" s="4">
        <f t="shared" si="8"/>
        <v>3329.3410752367517</v>
      </c>
    </row>
    <row r="303" spans="1:4" x14ac:dyDescent="0.3">
      <c r="A303" s="1">
        <v>298</v>
      </c>
      <c r="B303" s="4">
        <v>1659.5</v>
      </c>
      <c r="C303" s="6">
        <f t="shared" si="9"/>
        <v>1.5301744078762131E-2</v>
      </c>
      <c r="D303" s="4">
        <f t="shared" si="8"/>
        <v>3394.5369406306618</v>
      </c>
    </row>
    <row r="304" spans="1:4" x14ac:dyDescent="0.3">
      <c r="A304" s="1">
        <v>299</v>
      </c>
      <c r="B304" s="4">
        <v>1668.650024</v>
      </c>
      <c r="C304" s="6">
        <f t="shared" si="9"/>
        <v>5.4985784822015578E-3</v>
      </c>
      <c r="D304" s="4">
        <f t="shared" si="8"/>
        <v>3361.4223121694849</v>
      </c>
    </row>
    <row r="305" spans="1:4" x14ac:dyDescent="0.3">
      <c r="A305" s="1">
        <v>300</v>
      </c>
      <c r="B305" s="4">
        <v>1642.589966</v>
      </c>
      <c r="C305" s="6">
        <f t="shared" si="9"/>
        <v>-1.5740686963100436E-2</v>
      </c>
      <c r="D305" s="4">
        <f t="shared" si="8"/>
        <v>3290.7810116163942</v>
      </c>
    </row>
    <row r="306" spans="1:4" x14ac:dyDescent="0.3">
      <c r="A306" s="1">
        <v>301</v>
      </c>
      <c r="B306" s="4">
        <v>1612.040039</v>
      </c>
      <c r="C306" s="6">
        <f t="shared" si="9"/>
        <v>-1.8773761831686994E-2</v>
      </c>
      <c r="D306" s="4">
        <f t="shared" si="8"/>
        <v>3280.8149479808826</v>
      </c>
    </row>
    <row r="307" spans="1:4" x14ac:dyDescent="0.3">
      <c r="A307" s="1">
        <v>302</v>
      </c>
      <c r="B307" s="4">
        <v>1649.119995</v>
      </c>
      <c r="C307" s="6">
        <f t="shared" si="9"/>
        <v>2.274132740911913E-2</v>
      </c>
      <c r="D307" s="4">
        <f t="shared" si="8"/>
        <v>3419.8850538561901</v>
      </c>
    </row>
    <row r="308" spans="1:4" x14ac:dyDescent="0.3">
      <c r="A308" s="1">
        <v>303</v>
      </c>
      <c r="B308" s="4">
        <v>1673.7700199999999</v>
      </c>
      <c r="C308" s="6">
        <f t="shared" si="9"/>
        <v>1.4836769842334036E-2</v>
      </c>
      <c r="D308" s="4">
        <f t="shared" si="8"/>
        <v>3392.9589353030065</v>
      </c>
    </row>
    <row r="309" spans="1:4" x14ac:dyDescent="0.3">
      <c r="A309" s="1">
        <v>304</v>
      </c>
      <c r="B309" s="4">
        <v>1710.9300539999999</v>
      </c>
      <c r="C309" s="6">
        <f t="shared" si="9"/>
        <v>2.1958534770654018E-2</v>
      </c>
      <c r="D309" s="4">
        <f t="shared" si="8"/>
        <v>3417.2090405300478</v>
      </c>
    </row>
    <row r="310" spans="1:4" x14ac:dyDescent="0.3">
      <c r="A310" s="1">
        <v>305</v>
      </c>
      <c r="B310" s="4">
        <v>1798.3599850000001</v>
      </c>
      <c r="C310" s="6">
        <f t="shared" si="9"/>
        <v>4.9838016248648961E-2</v>
      </c>
      <c r="D310" s="4">
        <f t="shared" si="8"/>
        <v>3513.8195241916947</v>
      </c>
    </row>
    <row r="311" spans="1:4" x14ac:dyDescent="0.3">
      <c r="A311" s="1">
        <v>306</v>
      </c>
      <c r="B311" s="4">
        <v>1791.880005</v>
      </c>
      <c r="C311" s="6">
        <f t="shared" si="9"/>
        <v>-3.6097793208807452E-3</v>
      </c>
      <c r="D311" s="4">
        <f t="shared" si="8"/>
        <v>3330.9442881071163</v>
      </c>
    </row>
    <row r="312" spans="1:4" x14ac:dyDescent="0.3">
      <c r="A312" s="1">
        <v>307</v>
      </c>
      <c r="B312" s="4">
        <v>1840.6999510000001</v>
      </c>
      <c r="C312" s="6">
        <f t="shared" si="9"/>
        <v>2.6880556621049517E-2</v>
      </c>
      <c r="D312" s="4">
        <f t="shared" si="8"/>
        <v>3434.0700792553857</v>
      </c>
    </row>
    <row r="313" spans="1:4" x14ac:dyDescent="0.3">
      <c r="A313" s="1">
        <v>308</v>
      </c>
      <c r="B313" s="4">
        <v>1871</v>
      </c>
      <c r="C313" s="6">
        <f t="shared" si="9"/>
        <v>1.6327139855721103E-2</v>
      </c>
      <c r="D313" s="4">
        <f t="shared" si="8"/>
        <v>3398.0194696544545</v>
      </c>
    </row>
    <row r="314" spans="1:4" x14ac:dyDescent="0.3">
      <c r="A314" s="1">
        <v>309</v>
      </c>
      <c r="B314" s="4">
        <v>1792.900024</v>
      </c>
      <c r="C314" s="6">
        <f t="shared" si="9"/>
        <v>-4.2638613286573888E-2</v>
      </c>
      <c r="D314" s="4">
        <f t="shared" si="8"/>
        <v>3203.4456618400641</v>
      </c>
    </row>
    <row r="315" spans="1:4" x14ac:dyDescent="0.3">
      <c r="A315" s="1">
        <v>310</v>
      </c>
      <c r="B315" s="4">
        <v>1808.1400149999999</v>
      </c>
      <c r="C315" s="6">
        <f t="shared" si="9"/>
        <v>8.4642668909137141E-3</v>
      </c>
      <c r="D315" s="4">
        <f t="shared" si="8"/>
        <v>3371.4060403534522</v>
      </c>
    </row>
    <row r="316" spans="1:4" x14ac:dyDescent="0.3">
      <c r="A316" s="1">
        <v>311</v>
      </c>
      <c r="B316" s="4">
        <v>1778.7299800000001</v>
      </c>
      <c r="C316" s="6">
        <f t="shared" si="9"/>
        <v>-1.6399085632576353E-2</v>
      </c>
      <c r="D316" s="4">
        <f t="shared" si="8"/>
        <v>3288.6150788786681</v>
      </c>
    </row>
    <row r="317" spans="1:4" x14ac:dyDescent="0.3">
      <c r="A317" s="1">
        <v>312</v>
      </c>
      <c r="B317" s="4">
        <v>1832.530029</v>
      </c>
      <c r="C317" s="6">
        <f t="shared" si="9"/>
        <v>2.9797926283827329E-2</v>
      </c>
      <c r="D317" s="4">
        <f t="shared" si="8"/>
        <v>3444.1031591098549</v>
      </c>
    </row>
    <row r="318" spans="1:4" x14ac:dyDescent="0.3">
      <c r="A318" s="1">
        <v>313</v>
      </c>
      <c r="B318" s="4">
        <v>1831.630005</v>
      </c>
      <c r="C318" s="6">
        <f t="shared" si="9"/>
        <v>-4.9125802898843639E-4</v>
      </c>
      <c r="D318" s="4">
        <f t="shared" si="8"/>
        <v>3341.3481226498639</v>
      </c>
    </row>
    <row r="319" spans="1:4" x14ac:dyDescent="0.3">
      <c r="A319" s="1">
        <v>314</v>
      </c>
      <c r="B319" s="4">
        <v>1812.0200199999999</v>
      </c>
      <c r="C319" s="6">
        <f t="shared" si="9"/>
        <v>-1.0764027393680936E-2</v>
      </c>
      <c r="D319" s="4">
        <f t="shared" si="8"/>
        <v>3307.1989277330058</v>
      </c>
    </row>
    <row r="320" spans="1:4" x14ac:dyDescent="0.3">
      <c r="A320" s="1">
        <v>315</v>
      </c>
      <c r="B320" s="4">
        <v>1819.880005</v>
      </c>
      <c r="C320" s="6">
        <f t="shared" si="9"/>
        <v>4.3283114715836441E-3</v>
      </c>
      <c r="D320" s="4">
        <f t="shared" si="8"/>
        <v>3357.4908514069011</v>
      </c>
    </row>
    <row r="321" spans="1:4" x14ac:dyDescent="0.3">
      <c r="A321" s="1">
        <v>316</v>
      </c>
      <c r="B321" s="4">
        <v>1860.1800539999999</v>
      </c>
      <c r="C321" s="6">
        <f t="shared" si="9"/>
        <v>2.190271866932857E-2</v>
      </c>
      <c r="D321" s="4">
        <f t="shared" si="8"/>
        <v>3417.0183105669425</v>
      </c>
    </row>
    <row r="322" spans="1:4" x14ac:dyDescent="0.3">
      <c r="A322" s="1">
        <v>317</v>
      </c>
      <c r="B322" s="4">
        <v>1923.849976</v>
      </c>
      <c r="C322" s="6">
        <f t="shared" si="9"/>
        <v>3.3655087885540981E-2</v>
      </c>
      <c r="D322" s="4">
        <f t="shared" si="8"/>
        <v>3457.413274698913</v>
      </c>
    </row>
    <row r="323" spans="1:4" x14ac:dyDescent="0.3">
      <c r="A323" s="1">
        <v>318</v>
      </c>
      <c r="B323" s="4">
        <v>1888.530029</v>
      </c>
      <c r="C323" s="6">
        <f t="shared" si="9"/>
        <v>-1.8529610127758542E-2</v>
      </c>
      <c r="D323" s="4">
        <f t="shared" si="8"/>
        <v>3281.6160623334436</v>
      </c>
    </row>
    <row r="324" spans="1:4" x14ac:dyDescent="0.3">
      <c r="A324" s="1">
        <v>319</v>
      </c>
      <c r="B324" s="4">
        <v>1935.880005</v>
      </c>
      <c r="C324" s="6">
        <f t="shared" si="9"/>
        <v>2.4763242021492181E-2</v>
      </c>
      <c r="D324" s="4">
        <f t="shared" si="8"/>
        <v>3426.8067646152053</v>
      </c>
    </row>
    <row r="325" spans="1:4" x14ac:dyDescent="0.3">
      <c r="A325" s="1">
        <v>320</v>
      </c>
      <c r="B325" s="4">
        <v>1963.030029</v>
      </c>
      <c r="C325" s="6">
        <f t="shared" si="9"/>
        <v>1.3927206636078316E-2</v>
      </c>
      <c r="D325" s="4">
        <f t="shared" si="8"/>
        <v>3389.8742277760189</v>
      </c>
    </row>
    <row r="326" spans="1:4" x14ac:dyDescent="0.3">
      <c r="A326" s="1">
        <v>321</v>
      </c>
      <c r="B326" s="4">
        <v>2091.320068</v>
      </c>
      <c r="C326" s="6">
        <f t="shared" si="9"/>
        <v>6.330626539625181E-2</v>
      </c>
      <c r="D326" s="4">
        <f t="shared" si="8"/>
        <v>3561.4646490005985</v>
      </c>
    </row>
    <row r="327" spans="1:4" x14ac:dyDescent="0.3">
      <c r="A327" s="1">
        <v>322</v>
      </c>
      <c r="B327" s="4">
        <v>1951.910034</v>
      </c>
      <c r="C327" s="6">
        <f t="shared" si="9"/>
        <v>-6.8987080287971361E-2</v>
      </c>
      <c r="D327" s="4">
        <f t="shared" ref="D327:D390" si="10">$C$2*EXP(C327)</f>
        <v>3120.1420599778608</v>
      </c>
    </row>
    <row r="328" spans="1:4" x14ac:dyDescent="0.3">
      <c r="A328" s="1">
        <v>323</v>
      </c>
      <c r="B328" s="4">
        <v>1928.969971</v>
      </c>
      <c r="C328" s="6">
        <f t="shared" ref="C328:C391" si="11">LN(B328/B327)</f>
        <v>-1.1822231120226146E-2</v>
      </c>
      <c r="D328" s="4">
        <f t="shared" si="10"/>
        <v>3303.7010885428904</v>
      </c>
    </row>
    <row r="329" spans="1:4" x14ac:dyDescent="0.3">
      <c r="A329" s="1">
        <v>324</v>
      </c>
      <c r="B329" s="4">
        <v>1896.829956</v>
      </c>
      <c r="C329" s="6">
        <f t="shared" si="11"/>
        <v>-1.6802118110459296E-2</v>
      </c>
      <c r="D329" s="4">
        <f t="shared" si="10"/>
        <v>3287.2899272521336</v>
      </c>
    </row>
    <row r="330" spans="1:4" x14ac:dyDescent="0.3">
      <c r="A330" s="1">
        <v>325</v>
      </c>
      <c r="B330" s="4">
        <v>1842.599976</v>
      </c>
      <c r="C330" s="6">
        <f t="shared" si="11"/>
        <v>-2.9006443891112836E-2</v>
      </c>
      <c r="D330" s="4">
        <f t="shared" si="10"/>
        <v>3247.4145907796069</v>
      </c>
    </row>
    <row r="331" spans="1:4" x14ac:dyDescent="0.3">
      <c r="A331" s="1">
        <v>326</v>
      </c>
      <c r="B331" s="4">
        <v>1822.5500489999999</v>
      </c>
      <c r="C331" s="6">
        <f t="shared" si="11"/>
        <v>-1.0940958415616387E-2</v>
      </c>
      <c r="D331" s="4">
        <f t="shared" si="10"/>
        <v>3306.6138334091729</v>
      </c>
    </row>
    <row r="332" spans="1:4" x14ac:dyDescent="0.3">
      <c r="A332" s="1">
        <v>327</v>
      </c>
      <c r="B332" s="4">
        <v>1842.7700199999999</v>
      </c>
      <c r="C332" s="6">
        <f t="shared" si="11"/>
        <v>1.1033238973772183E-2</v>
      </c>
      <c r="D332" s="4">
        <f t="shared" si="10"/>
        <v>3380.0782228790799</v>
      </c>
    </row>
    <row r="333" spans="1:4" x14ac:dyDescent="0.3">
      <c r="A333" s="1">
        <v>328</v>
      </c>
      <c r="B333" s="4">
        <v>1841.920044</v>
      </c>
      <c r="C333" s="6">
        <f t="shared" si="11"/>
        <v>-4.613555009040198E-4</v>
      </c>
      <c r="D333" s="4">
        <f t="shared" si="10"/>
        <v>3341.4480388998077</v>
      </c>
    </row>
    <row r="334" spans="1:4" x14ac:dyDescent="0.3">
      <c r="A334" s="1">
        <v>329</v>
      </c>
      <c r="B334" s="4">
        <v>1875.349976</v>
      </c>
      <c r="C334" s="6">
        <f t="shared" si="11"/>
        <v>1.7986766146502135E-2</v>
      </c>
      <c r="D334" s="4">
        <f t="shared" si="10"/>
        <v>3403.6635943762717</v>
      </c>
    </row>
    <row r="335" spans="1:4" x14ac:dyDescent="0.3">
      <c r="A335" s="1">
        <v>330</v>
      </c>
      <c r="B335" s="4">
        <v>1825.790039</v>
      </c>
      <c r="C335" s="6">
        <f t="shared" si="11"/>
        <v>-2.6782504428070317E-2</v>
      </c>
      <c r="D335" s="4">
        <f t="shared" si="10"/>
        <v>3254.6446809023287</v>
      </c>
    </row>
    <row r="336" spans="1:4" x14ac:dyDescent="0.3">
      <c r="A336" s="1">
        <v>331</v>
      </c>
      <c r="B336" s="4">
        <v>1783.0500489999999</v>
      </c>
      <c r="C336" s="6">
        <f t="shared" si="11"/>
        <v>-2.3687382849697593E-2</v>
      </c>
      <c r="D336" s="4">
        <f t="shared" si="10"/>
        <v>3264.7338073663404</v>
      </c>
    </row>
    <row r="337" spans="1:4" x14ac:dyDescent="0.3">
      <c r="A337" s="1">
        <v>332</v>
      </c>
      <c r="B337" s="4">
        <v>1785.5</v>
      </c>
      <c r="C337" s="6">
        <f t="shared" si="11"/>
        <v>1.3730794587588095E-3</v>
      </c>
      <c r="D337" s="4">
        <f t="shared" si="10"/>
        <v>3347.5833336773599</v>
      </c>
    </row>
    <row r="338" spans="1:4" x14ac:dyDescent="0.3">
      <c r="A338" s="1">
        <v>333</v>
      </c>
      <c r="B338" s="4">
        <v>1747.48999</v>
      </c>
      <c r="C338" s="6">
        <f t="shared" si="11"/>
        <v>-2.1518021126062679E-2</v>
      </c>
      <c r="D338" s="4">
        <f t="shared" si="10"/>
        <v>3271.8238836153459</v>
      </c>
    </row>
    <row r="339" spans="1:4" x14ac:dyDescent="0.3">
      <c r="A339" s="1">
        <v>334</v>
      </c>
      <c r="B339" s="4">
        <v>1755.6099850000001</v>
      </c>
      <c r="C339" s="6">
        <f t="shared" si="11"/>
        <v>4.6358994037048714E-3</v>
      </c>
      <c r="D339" s="4">
        <f t="shared" si="10"/>
        <v>3358.5237339179557</v>
      </c>
    </row>
    <row r="340" spans="1:4" x14ac:dyDescent="0.3">
      <c r="A340" s="1">
        <v>335</v>
      </c>
      <c r="B340" s="4">
        <v>1758.7700199999999</v>
      </c>
      <c r="C340" s="6">
        <f t="shared" si="11"/>
        <v>1.7983461362438074E-3</v>
      </c>
      <c r="D340" s="4">
        <f t="shared" si="10"/>
        <v>3349.0072520703393</v>
      </c>
    </row>
    <row r="341" spans="1:4" x14ac:dyDescent="0.3">
      <c r="A341" s="1">
        <v>336</v>
      </c>
      <c r="B341" s="4">
        <v>1709.23999</v>
      </c>
      <c r="C341" s="6">
        <f t="shared" si="11"/>
        <v>-2.8565891041387122E-2</v>
      </c>
      <c r="D341" s="4">
        <f t="shared" si="10"/>
        <v>3248.8455637182742</v>
      </c>
    </row>
    <row r="342" spans="1:4" x14ac:dyDescent="0.3">
      <c r="A342" s="1">
        <v>337</v>
      </c>
      <c r="B342" s="4">
        <v>1718.7700199999999</v>
      </c>
      <c r="C342" s="6">
        <f t="shared" si="11"/>
        <v>5.5601089400420115E-3</v>
      </c>
      <c r="D342" s="4">
        <f t="shared" si="10"/>
        <v>3361.6291483866462</v>
      </c>
    </row>
    <row r="343" spans="1:4" x14ac:dyDescent="0.3">
      <c r="A343" s="1">
        <v>338</v>
      </c>
      <c r="B343" s="4">
        <v>1726</v>
      </c>
      <c r="C343" s="6">
        <f t="shared" si="11"/>
        <v>4.1976622963292081E-3</v>
      </c>
      <c r="D343" s="4">
        <f t="shared" si="10"/>
        <v>3357.0522266498456</v>
      </c>
    </row>
    <row r="344" spans="1:4" x14ac:dyDescent="0.3">
      <c r="A344" s="1">
        <v>339</v>
      </c>
      <c r="B344" s="4">
        <v>1667.9799800000001</v>
      </c>
      <c r="C344" s="6">
        <f t="shared" si="11"/>
        <v>-3.4193291194792044E-2</v>
      </c>
      <c r="D344" s="4">
        <f t="shared" si="10"/>
        <v>3230.6143549596759</v>
      </c>
    </row>
    <row r="345" spans="1:4" x14ac:dyDescent="0.3">
      <c r="A345" s="1">
        <v>340</v>
      </c>
      <c r="B345" s="4">
        <v>1669.349976</v>
      </c>
      <c r="C345" s="6">
        <f t="shared" si="11"/>
        <v>8.2101326210919003E-4</v>
      </c>
      <c r="D345" s="4">
        <f t="shared" si="10"/>
        <v>3345.7357561178519</v>
      </c>
    </row>
    <row r="346" spans="1:4" x14ac:dyDescent="0.3">
      <c r="A346" s="1">
        <v>341</v>
      </c>
      <c r="B346" s="4">
        <v>1701.089966</v>
      </c>
      <c r="C346" s="6">
        <f t="shared" si="11"/>
        <v>1.8834887351209063E-2</v>
      </c>
      <c r="D346" s="4">
        <f t="shared" si="10"/>
        <v>3406.5515381344103</v>
      </c>
    </row>
    <row r="347" spans="1:4" x14ac:dyDescent="0.3">
      <c r="A347" s="1">
        <v>342</v>
      </c>
      <c r="B347" s="4">
        <v>1693.900024</v>
      </c>
      <c r="C347" s="6">
        <f t="shared" si="11"/>
        <v>-4.2356253010764041E-3</v>
      </c>
      <c r="D347" s="4">
        <f t="shared" si="10"/>
        <v>3328.8602822155262</v>
      </c>
    </row>
    <row r="348" spans="1:4" x14ac:dyDescent="0.3">
      <c r="A348" s="1">
        <v>343</v>
      </c>
      <c r="B348" s="4">
        <v>1694.280029</v>
      </c>
      <c r="C348" s="6">
        <f t="shared" si="11"/>
        <v>2.2431216502604416E-4</v>
      </c>
      <c r="D348" s="4">
        <f t="shared" si="10"/>
        <v>3343.7399474314602</v>
      </c>
    </row>
    <row r="349" spans="1:4" x14ac:dyDescent="0.3">
      <c r="A349" s="1">
        <v>344</v>
      </c>
      <c r="B349" s="4">
        <v>1684.839966</v>
      </c>
      <c r="C349" s="6">
        <f t="shared" si="11"/>
        <v>-5.5873053175171487E-3</v>
      </c>
      <c r="D349" s="4">
        <f t="shared" si="10"/>
        <v>3324.3637679034109</v>
      </c>
    </row>
    <row r="350" spans="1:4" x14ac:dyDescent="0.3">
      <c r="A350" s="1">
        <v>345</v>
      </c>
      <c r="B350" s="4">
        <v>1694.9300539999999</v>
      </c>
      <c r="C350" s="6">
        <f t="shared" si="11"/>
        <v>5.9708902780545242E-3</v>
      </c>
      <c r="D350" s="4">
        <f t="shared" si="10"/>
        <v>3363.0103265678108</v>
      </c>
    </row>
    <row r="351" spans="1:4" x14ac:dyDescent="0.3">
      <c r="A351" s="1">
        <v>346</v>
      </c>
      <c r="B351" s="4">
        <v>1673.25</v>
      </c>
      <c r="C351" s="6">
        <f t="shared" si="11"/>
        <v>-1.2873630905634868E-2</v>
      </c>
      <c r="D351" s="4">
        <f t="shared" si="10"/>
        <v>3300.2294033117078</v>
      </c>
    </row>
    <row r="352" spans="1:4" x14ac:dyDescent="0.3">
      <c r="A352" s="1">
        <v>347</v>
      </c>
      <c r="B352" s="4">
        <v>1752.089966</v>
      </c>
      <c r="C352" s="6">
        <f t="shared" si="11"/>
        <v>4.6041498653816508E-2</v>
      </c>
      <c r="D352" s="4">
        <f t="shared" si="10"/>
        <v>3500.5045378260511</v>
      </c>
    </row>
    <row r="353" spans="1:4" x14ac:dyDescent="0.3">
      <c r="A353" s="1">
        <v>348</v>
      </c>
      <c r="B353" s="4">
        <v>1754.829956</v>
      </c>
      <c r="C353" s="6">
        <f t="shared" si="11"/>
        <v>1.5626194030543634E-3</v>
      </c>
      <c r="D353" s="4">
        <f t="shared" si="10"/>
        <v>3348.2178945713686</v>
      </c>
    </row>
    <row r="354" spans="1:4" x14ac:dyDescent="0.3">
      <c r="A354" s="1">
        <v>349</v>
      </c>
      <c r="B354" s="4">
        <v>1826</v>
      </c>
      <c r="C354" s="6">
        <f t="shared" si="11"/>
        <v>3.9755821117291257E-2</v>
      </c>
      <c r="D354" s="4">
        <f t="shared" si="10"/>
        <v>3478.5705024401809</v>
      </c>
    </row>
    <row r="355" spans="1:4" x14ac:dyDescent="0.3">
      <c r="A355" s="1">
        <v>350</v>
      </c>
      <c r="B355" s="4">
        <v>1870.920044</v>
      </c>
      <c r="C355" s="6">
        <f t="shared" si="11"/>
        <v>2.4302529839387875E-2</v>
      </c>
      <c r="D355" s="4">
        <f t="shared" si="10"/>
        <v>3425.2283566168453</v>
      </c>
    </row>
    <row r="356" spans="1:4" x14ac:dyDescent="0.3">
      <c r="A356" s="1">
        <v>351</v>
      </c>
      <c r="B356" s="4">
        <v>1867.51001</v>
      </c>
      <c r="C356" s="6">
        <f t="shared" si="11"/>
        <v>-1.8243138945995853E-3</v>
      </c>
      <c r="D356" s="4">
        <f t="shared" si="10"/>
        <v>3336.8968864683347</v>
      </c>
    </row>
    <row r="357" spans="1:4" x14ac:dyDescent="0.3">
      <c r="A357" s="1">
        <v>352</v>
      </c>
      <c r="B357" s="4">
        <v>1874.0500489999999</v>
      </c>
      <c r="C357" s="6">
        <f t="shared" si="11"/>
        <v>3.4958923857952243E-3</v>
      </c>
      <c r="D357" s="4">
        <f t="shared" si="10"/>
        <v>3354.6971748579858</v>
      </c>
    </row>
    <row r="358" spans="1:4" x14ac:dyDescent="0.3">
      <c r="A358" s="1">
        <v>353</v>
      </c>
      <c r="B358" s="4">
        <v>1842.3599850000001</v>
      </c>
      <c r="C358" s="6">
        <f t="shared" si="11"/>
        <v>-1.7054540168420694E-2</v>
      </c>
      <c r="D358" s="4">
        <f t="shared" si="10"/>
        <v>3286.4602474827238</v>
      </c>
    </row>
    <row r="359" spans="1:4" x14ac:dyDescent="0.3">
      <c r="A359" s="1">
        <v>354</v>
      </c>
      <c r="B359" s="4">
        <v>1847.6400149999999</v>
      </c>
      <c r="C359" s="6">
        <f t="shared" si="11"/>
        <v>2.8618068312154842E-3</v>
      </c>
      <c r="D359" s="4">
        <f t="shared" si="10"/>
        <v>3352.5706840992038</v>
      </c>
    </row>
    <row r="360" spans="1:4" x14ac:dyDescent="0.3">
      <c r="A360" s="1">
        <v>355</v>
      </c>
      <c r="B360" s="4">
        <v>1808.6800539999999</v>
      </c>
      <c r="C360" s="6">
        <f t="shared" si="11"/>
        <v>-2.1311829855658864E-2</v>
      </c>
      <c r="D360" s="4">
        <f t="shared" si="10"/>
        <v>3272.4985746937609</v>
      </c>
    </row>
    <row r="361" spans="1:4" x14ac:dyDescent="0.3">
      <c r="A361" s="1">
        <v>356</v>
      </c>
      <c r="B361" s="4">
        <v>1805.380005</v>
      </c>
      <c r="C361" s="6">
        <f t="shared" si="11"/>
        <v>-1.8262285979177369E-3</v>
      </c>
      <c r="D361" s="4">
        <f t="shared" si="10"/>
        <v>3336.8904973069107</v>
      </c>
    </row>
    <row r="362" spans="1:4" x14ac:dyDescent="0.3">
      <c r="A362" s="1">
        <v>357</v>
      </c>
      <c r="B362" s="4">
        <v>1771.8199460000001</v>
      </c>
      <c r="C362" s="6">
        <f t="shared" si="11"/>
        <v>-1.8763862301877939E-2</v>
      </c>
      <c r="D362" s="4">
        <f t="shared" si="10"/>
        <v>3280.8474266670196</v>
      </c>
    </row>
    <row r="363" spans="1:4" x14ac:dyDescent="0.3">
      <c r="A363" s="1">
        <v>358</v>
      </c>
      <c r="B363" s="4">
        <v>1813.660034</v>
      </c>
      <c r="C363" s="6">
        <f t="shared" si="11"/>
        <v>2.3339685369954202E-2</v>
      </c>
      <c r="D363" s="4">
        <f t="shared" si="10"/>
        <v>3421.9319816400011</v>
      </c>
    </row>
    <row r="364" spans="1:4" x14ac:dyDescent="0.3">
      <c r="A364" s="1">
        <v>359</v>
      </c>
      <c r="B364" s="4">
        <v>1845.219971</v>
      </c>
      <c r="C364" s="6">
        <f t="shared" si="11"/>
        <v>1.7251574079298396E-2</v>
      </c>
      <c r="D364" s="4">
        <f t="shared" si="10"/>
        <v>3401.1621675295132</v>
      </c>
    </row>
    <row r="365" spans="1:4" x14ac:dyDescent="0.3">
      <c r="A365" s="1">
        <v>360</v>
      </c>
      <c r="B365" s="4">
        <v>1856.410034</v>
      </c>
      <c r="C365" s="6">
        <f t="shared" si="11"/>
        <v>6.0460375954339927E-3</v>
      </c>
      <c r="D365" s="4">
        <f t="shared" si="10"/>
        <v>3363.26305726807</v>
      </c>
    </row>
    <row r="366" spans="1:4" x14ac:dyDescent="0.3">
      <c r="A366" s="1">
        <v>361</v>
      </c>
      <c r="B366" s="4">
        <v>1850.3900149999999</v>
      </c>
      <c r="C366" s="6">
        <f t="shared" si="11"/>
        <v>-3.2480976654204602E-3</v>
      </c>
      <c r="D366" s="4">
        <f t="shared" si="10"/>
        <v>3332.1492474441934</v>
      </c>
    </row>
    <row r="367" spans="1:4" x14ac:dyDescent="0.3">
      <c r="A367" s="1">
        <v>362</v>
      </c>
      <c r="B367" s="4">
        <v>1880.1899410000001</v>
      </c>
      <c r="C367" s="6">
        <f t="shared" si="11"/>
        <v>1.59763683952657E-2</v>
      </c>
      <c r="D367" s="4">
        <f t="shared" si="10"/>
        <v>3396.8277504251942</v>
      </c>
    </row>
    <row r="368" spans="1:4" x14ac:dyDescent="0.3">
      <c r="A368" s="1">
        <v>363</v>
      </c>
      <c r="B368" s="4">
        <v>1857.6400149999999</v>
      </c>
      <c r="C368" s="6">
        <f t="shared" si="11"/>
        <v>-1.2065931219748171E-2</v>
      </c>
      <c r="D368" s="4">
        <f t="shared" si="10"/>
        <v>3302.8960743538246</v>
      </c>
    </row>
    <row r="369" spans="1:4" x14ac:dyDescent="0.3">
      <c r="A369" s="1">
        <v>364</v>
      </c>
      <c r="B369" s="4">
        <v>1848.719971</v>
      </c>
      <c r="C369" s="6">
        <f t="shared" si="11"/>
        <v>-4.813380921330491E-3</v>
      </c>
      <c r="D369" s="4">
        <f t="shared" si="10"/>
        <v>3326.9375699608249</v>
      </c>
    </row>
    <row r="370" spans="1:4" x14ac:dyDescent="0.3">
      <c r="A370" s="1">
        <v>365</v>
      </c>
      <c r="B370" s="4">
        <v>1815.579956</v>
      </c>
      <c r="C370" s="6">
        <f t="shared" si="11"/>
        <v>-1.8088540381544973E-2</v>
      </c>
      <c r="D370" s="4">
        <f t="shared" si="10"/>
        <v>3283.0638031510944</v>
      </c>
    </row>
    <row r="371" spans="1:4" x14ac:dyDescent="0.3">
      <c r="A371" s="1">
        <v>366</v>
      </c>
      <c r="B371" s="4">
        <v>1771.4799800000001</v>
      </c>
      <c r="C371" s="6">
        <f t="shared" si="11"/>
        <v>-2.4589607560289131E-2</v>
      </c>
      <c r="D371" s="4">
        <f t="shared" si="10"/>
        <v>3261.7896122143575</v>
      </c>
    </row>
    <row r="372" spans="1:4" x14ac:dyDescent="0.3">
      <c r="A372" s="1">
        <v>367</v>
      </c>
      <c r="B372" s="4">
        <v>1843.5</v>
      </c>
      <c r="C372" s="6">
        <f t="shared" si="11"/>
        <v>3.9850594589742473E-2</v>
      </c>
      <c r="D372" s="4">
        <f t="shared" si="10"/>
        <v>3478.9001942686364</v>
      </c>
    </row>
    <row r="373" spans="1:4" x14ac:dyDescent="0.3">
      <c r="A373" s="1">
        <v>368</v>
      </c>
      <c r="B373" s="4">
        <v>1846.25</v>
      </c>
      <c r="C373" s="6">
        <f t="shared" si="11"/>
        <v>1.4906161713903597E-3</v>
      </c>
      <c r="D373" s="4">
        <f t="shared" si="10"/>
        <v>3347.9768207417956</v>
      </c>
    </row>
    <row r="374" spans="1:4" x14ac:dyDescent="0.3">
      <c r="A374" s="1">
        <v>369</v>
      </c>
      <c r="B374" s="4">
        <v>1850.5500489999999</v>
      </c>
      <c r="C374" s="6">
        <f t="shared" si="11"/>
        <v>2.3263638186078665E-3</v>
      </c>
      <c r="D374" s="4">
        <f t="shared" si="10"/>
        <v>3350.7760540560648</v>
      </c>
    </row>
    <row r="375" spans="1:4" x14ac:dyDescent="0.3">
      <c r="A375" s="1">
        <v>370</v>
      </c>
      <c r="B375" s="4">
        <v>1844.339966</v>
      </c>
      <c r="C375" s="6">
        <f t="shared" si="11"/>
        <v>-3.3614471999264327E-3</v>
      </c>
      <c r="D375" s="4">
        <f t="shared" si="10"/>
        <v>3331.7715712832041</v>
      </c>
    </row>
    <row r="376" spans="1:4" x14ac:dyDescent="0.3">
      <c r="A376" s="1">
        <v>371</v>
      </c>
      <c r="B376" s="4">
        <v>1883.400024</v>
      </c>
      <c r="C376" s="6">
        <f t="shared" si="11"/>
        <v>2.0957195354603567E-2</v>
      </c>
      <c r="D376" s="4">
        <f t="shared" si="10"/>
        <v>3413.7889670378481</v>
      </c>
    </row>
    <row r="377" spans="1:4" x14ac:dyDescent="0.3">
      <c r="A377" s="1">
        <v>372</v>
      </c>
      <c r="B377" s="4">
        <v>1870.579956</v>
      </c>
      <c r="C377" s="6">
        <f t="shared" si="11"/>
        <v>-6.830147154353248E-3</v>
      </c>
      <c r="D377" s="4">
        <f t="shared" si="10"/>
        <v>3320.2346759674037</v>
      </c>
    </row>
    <row r="378" spans="1:4" x14ac:dyDescent="0.3">
      <c r="A378" s="1">
        <v>373</v>
      </c>
      <c r="B378" s="4">
        <v>1920.0200199999999</v>
      </c>
      <c r="C378" s="6">
        <f t="shared" si="11"/>
        <v>2.608709338627755E-2</v>
      </c>
      <c r="D378" s="4">
        <f t="shared" si="10"/>
        <v>3431.3463516336319</v>
      </c>
    </row>
    <row r="379" spans="1:4" x14ac:dyDescent="0.3">
      <c r="A379" s="1">
        <v>374</v>
      </c>
      <c r="B379" s="4">
        <v>1905</v>
      </c>
      <c r="C379" s="6">
        <f t="shared" si="11"/>
        <v>-7.85360448999756E-3</v>
      </c>
      <c r="D379" s="4">
        <f t="shared" si="10"/>
        <v>3316.838295753812</v>
      </c>
    </row>
    <row r="380" spans="1:4" x14ac:dyDescent="0.3">
      <c r="A380" s="1">
        <v>375</v>
      </c>
      <c r="B380" s="4">
        <v>1864.7299800000001</v>
      </c>
      <c r="C380" s="6">
        <f t="shared" si="11"/>
        <v>-2.1365748806755826E-2</v>
      </c>
      <c r="D380" s="4">
        <f t="shared" si="10"/>
        <v>3272.322129760053</v>
      </c>
    </row>
    <row r="381" spans="1:4" x14ac:dyDescent="0.3">
      <c r="A381" s="1">
        <v>376</v>
      </c>
      <c r="B381" s="4">
        <v>1906.380005</v>
      </c>
      <c r="C381" s="6">
        <f t="shared" si="11"/>
        <v>2.2089898620468951E-2</v>
      </c>
      <c r="D381" s="4">
        <f t="shared" si="10"/>
        <v>3417.6579677509926</v>
      </c>
    </row>
    <row r="382" spans="1:4" x14ac:dyDescent="0.3">
      <c r="A382" s="1">
        <v>377</v>
      </c>
      <c r="B382" s="4">
        <v>1981.48999</v>
      </c>
      <c r="C382" s="6">
        <f t="shared" si="11"/>
        <v>3.8642923514726632E-2</v>
      </c>
      <c r="D382" s="4">
        <f t="shared" si="10"/>
        <v>3474.7013630449824</v>
      </c>
    </row>
    <row r="383" spans="1:4" x14ac:dyDescent="0.3">
      <c r="A383" s="1">
        <v>378</v>
      </c>
      <c r="B383" s="4">
        <v>1904.1899410000001</v>
      </c>
      <c r="C383" s="6">
        <f t="shared" si="11"/>
        <v>-3.9792391584950029E-2</v>
      </c>
      <c r="D383" s="4">
        <f t="shared" si="10"/>
        <v>3212.5763662433092</v>
      </c>
    </row>
    <row r="384" spans="1:4" x14ac:dyDescent="0.3">
      <c r="A384" s="1">
        <v>379</v>
      </c>
      <c r="B384" s="4">
        <v>1865.170044</v>
      </c>
      <c r="C384" s="6">
        <f t="shared" si="11"/>
        <v>-2.0704464975184505E-2</v>
      </c>
      <c r="D384" s="4">
        <f t="shared" si="10"/>
        <v>3274.486779121085</v>
      </c>
    </row>
    <row r="385" spans="1:4" x14ac:dyDescent="0.3">
      <c r="A385" s="1">
        <v>380</v>
      </c>
      <c r="B385" s="4">
        <v>1860.98999</v>
      </c>
      <c r="C385" s="6">
        <f t="shared" si="11"/>
        <v>-2.243626529908547E-3</v>
      </c>
      <c r="D385" s="4">
        <f t="shared" si="10"/>
        <v>3335.4979767518721</v>
      </c>
    </row>
    <row r="386" spans="1:4" x14ac:dyDescent="0.3">
      <c r="A386" s="1">
        <v>381</v>
      </c>
      <c r="B386" s="4">
        <v>1863.969971</v>
      </c>
      <c r="C386" s="6">
        <f t="shared" si="11"/>
        <v>1.6000073380306545E-3</v>
      </c>
      <c r="D386" s="4">
        <f t="shared" si="10"/>
        <v>3348.3430798644922</v>
      </c>
    </row>
    <row r="387" spans="1:4" x14ac:dyDescent="0.3">
      <c r="A387" s="1">
        <v>382</v>
      </c>
      <c r="B387" s="4">
        <v>1875.209961</v>
      </c>
      <c r="C387" s="6">
        <f t="shared" si="11"/>
        <v>6.0120261980799025E-3</v>
      </c>
      <c r="D387" s="4">
        <f t="shared" si="10"/>
        <v>3363.1486699370707</v>
      </c>
    </row>
    <row r="388" spans="1:4" x14ac:dyDescent="0.3">
      <c r="A388" s="1">
        <v>383</v>
      </c>
      <c r="B388" s="4">
        <v>1885.8000489999999</v>
      </c>
      <c r="C388" s="6">
        <f t="shared" si="11"/>
        <v>5.6315276799354681E-3</v>
      </c>
      <c r="D388" s="4">
        <f t="shared" si="10"/>
        <v>3361.8692402778411</v>
      </c>
    </row>
    <row r="389" spans="1:4" x14ac:dyDescent="0.3">
      <c r="A389" s="1">
        <v>384</v>
      </c>
      <c r="B389" s="4">
        <v>1891.099976</v>
      </c>
      <c r="C389" s="6">
        <f t="shared" si="11"/>
        <v>2.8064976269567524E-3</v>
      </c>
      <c r="D389" s="4">
        <f t="shared" si="10"/>
        <v>3352.3852612102887</v>
      </c>
    </row>
    <row r="390" spans="1:4" x14ac:dyDescent="0.3">
      <c r="A390" s="1">
        <v>385</v>
      </c>
      <c r="B390" s="4">
        <v>1937.0500489999999</v>
      </c>
      <c r="C390" s="6">
        <f t="shared" si="11"/>
        <v>2.4007564840901417E-2</v>
      </c>
      <c r="D390" s="4">
        <f t="shared" si="10"/>
        <v>3424.2181831300545</v>
      </c>
    </row>
    <row r="391" spans="1:4" x14ac:dyDescent="0.3">
      <c r="A391" s="1">
        <v>386</v>
      </c>
      <c r="B391" s="4">
        <v>1976.6999510000001</v>
      </c>
      <c r="C391" s="6">
        <f t="shared" si="11"/>
        <v>2.0262540315992183E-2</v>
      </c>
      <c r="D391" s="4">
        <f t="shared" ref="D391:D454" si="12">$C$2*EXP(C391)</f>
        <v>3411.4183847949153</v>
      </c>
    </row>
    <row r="392" spans="1:4" x14ac:dyDescent="0.3">
      <c r="A392" s="1">
        <v>387</v>
      </c>
      <c r="B392" s="4">
        <v>1934.2299800000001</v>
      </c>
      <c r="C392" s="6">
        <f t="shared" ref="C392:C455" si="13">LN(B392/B391)</f>
        <v>-2.1719458688055256E-2</v>
      </c>
      <c r="D392" s="4">
        <f t="shared" si="12"/>
        <v>3271.1648817650525</v>
      </c>
    </row>
    <row r="393" spans="1:4" x14ac:dyDescent="0.3">
      <c r="A393" s="1">
        <v>388</v>
      </c>
      <c r="B393" s="4">
        <v>1936.6899410000001</v>
      </c>
      <c r="C393" s="6">
        <f t="shared" si="13"/>
        <v>1.2709957226510595E-3</v>
      </c>
      <c r="D393" s="4">
        <f t="shared" si="12"/>
        <v>3347.241617305865</v>
      </c>
    </row>
    <row r="394" spans="1:4" x14ac:dyDescent="0.3">
      <c r="A394" s="1">
        <v>389</v>
      </c>
      <c r="B394" s="4">
        <v>1984.8900149999999</v>
      </c>
      <c r="C394" s="6">
        <f t="shared" si="13"/>
        <v>2.458320469206399E-2</v>
      </c>
      <c r="D394" s="4">
        <f t="shared" si="12"/>
        <v>3426.1898670108026</v>
      </c>
    </row>
    <row r="395" spans="1:4" x14ac:dyDescent="0.3">
      <c r="A395" s="1">
        <v>390</v>
      </c>
      <c r="B395" s="4">
        <v>2030.5600589999999</v>
      </c>
      <c r="C395" s="6">
        <f t="shared" si="13"/>
        <v>2.2748141592123572E-2</v>
      </c>
      <c r="D395" s="4">
        <f t="shared" si="12"/>
        <v>3419.9083576581993</v>
      </c>
    </row>
    <row r="396" spans="1:4" x14ac:dyDescent="0.3">
      <c r="A396" s="1">
        <v>391</v>
      </c>
      <c r="B396" s="4">
        <v>2086.8798830000001</v>
      </c>
      <c r="C396" s="6">
        <f t="shared" si="13"/>
        <v>2.7358425439538023E-2</v>
      </c>
      <c r="D396" s="4">
        <f t="shared" si="12"/>
        <v>3435.7115064289619</v>
      </c>
    </row>
    <row r="397" spans="1:4" x14ac:dyDescent="0.3">
      <c r="A397" s="1">
        <v>392</v>
      </c>
      <c r="B397" s="4">
        <v>2058.5</v>
      </c>
      <c r="C397" s="6">
        <f t="shared" si="13"/>
        <v>-1.3692509347456295E-2</v>
      </c>
      <c r="D397" s="4">
        <f t="shared" si="12"/>
        <v>3297.5280228023553</v>
      </c>
    </row>
    <row r="398" spans="1:4" x14ac:dyDescent="0.3">
      <c r="A398" s="1">
        <v>393</v>
      </c>
      <c r="B398" s="4">
        <v>2055.7700199999999</v>
      </c>
      <c r="C398" s="6">
        <f t="shared" si="13"/>
        <v>-1.327078868127438E-3</v>
      </c>
      <c r="D398" s="4">
        <f t="shared" si="12"/>
        <v>3338.5565210600435</v>
      </c>
    </row>
    <row r="399" spans="1:4" x14ac:dyDescent="0.3">
      <c r="A399" s="1">
        <v>394</v>
      </c>
      <c r="B399" s="4">
        <v>2069.0500489999999</v>
      </c>
      <c r="C399" s="6">
        <f t="shared" si="13"/>
        <v>6.4391050579732812E-3</v>
      </c>
      <c r="D399" s="4">
        <f t="shared" si="12"/>
        <v>3364.5853063933728</v>
      </c>
    </row>
    <row r="400" spans="1:4" x14ac:dyDescent="0.3">
      <c r="A400" s="1">
        <v>395</v>
      </c>
      <c r="B400" s="4">
        <v>2077.969971</v>
      </c>
      <c r="C400" s="6">
        <f t="shared" si="13"/>
        <v>4.3018532406113186E-3</v>
      </c>
      <c r="D400" s="4">
        <f t="shared" si="12"/>
        <v>3357.4020193136421</v>
      </c>
    </row>
    <row r="401" spans="1:4" x14ac:dyDescent="0.3">
      <c r="A401" s="1">
        <v>396</v>
      </c>
      <c r="B401" s="4">
        <v>2053.25</v>
      </c>
      <c r="C401" s="6">
        <f t="shared" si="13"/>
        <v>-1.1967538020114831E-2</v>
      </c>
      <c r="D401" s="4">
        <f t="shared" si="12"/>
        <v>3303.2210728551959</v>
      </c>
    </row>
    <row r="402" spans="1:4" x14ac:dyDescent="0.3">
      <c r="A402" s="1">
        <v>397</v>
      </c>
      <c r="B402" s="4">
        <v>2109.469971</v>
      </c>
      <c r="C402" s="6">
        <f t="shared" si="13"/>
        <v>2.7012813715963948E-2</v>
      </c>
      <c r="D402" s="4">
        <f t="shared" si="12"/>
        <v>3434.524289423397</v>
      </c>
    </row>
    <row r="403" spans="1:4" x14ac:dyDescent="0.3">
      <c r="A403" s="1">
        <v>398</v>
      </c>
      <c r="B403" s="4">
        <v>2150</v>
      </c>
      <c r="C403" s="6">
        <f t="shared" si="13"/>
        <v>1.9031124785442718E-2</v>
      </c>
      <c r="D403" s="4">
        <f t="shared" si="12"/>
        <v>3407.2200966637984</v>
      </c>
    </row>
    <row r="404" spans="1:4" x14ac:dyDescent="0.3">
      <c r="A404" s="1">
        <v>399</v>
      </c>
      <c r="B404" s="4">
        <v>2148.0600589999999</v>
      </c>
      <c r="C404" s="6">
        <f t="shared" si="13"/>
        <v>-9.0270545553328813E-4</v>
      </c>
      <c r="D404" s="4">
        <f t="shared" si="12"/>
        <v>3339.973616351539</v>
      </c>
    </row>
    <row r="405" spans="1:4" x14ac:dyDescent="0.3">
      <c r="A405" s="1">
        <v>400</v>
      </c>
      <c r="B405" s="4">
        <v>2134.9499510000001</v>
      </c>
      <c r="C405" s="6">
        <f t="shared" si="13"/>
        <v>-6.1219324327885559E-3</v>
      </c>
      <c r="D405" s="4">
        <f t="shared" si="12"/>
        <v>3322.5869479024614</v>
      </c>
    </row>
    <row r="406" spans="1:4" x14ac:dyDescent="0.3">
      <c r="A406" s="1">
        <v>401</v>
      </c>
      <c r="B406" s="4">
        <v>2150</v>
      </c>
      <c r="C406" s="6">
        <f t="shared" si="13"/>
        <v>7.0246378883219648E-3</v>
      </c>
      <c r="D406" s="4">
        <f t="shared" si="12"/>
        <v>3366.5559584352059</v>
      </c>
    </row>
    <row r="407" spans="1:4" x14ac:dyDescent="0.3">
      <c r="A407" s="1">
        <v>402</v>
      </c>
      <c r="B407" s="4">
        <v>2180.8100589999999</v>
      </c>
      <c r="C407" s="6">
        <f t="shared" si="13"/>
        <v>1.4228552337434782E-2</v>
      </c>
      <c r="D407" s="4">
        <f t="shared" si="12"/>
        <v>3390.8959057340971</v>
      </c>
    </row>
    <row r="408" spans="1:4" x14ac:dyDescent="0.3">
      <c r="A408" s="1">
        <v>403</v>
      </c>
      <c r="B408" s="4">
        <v>2187.280029</v>
      </c>
      <c r="C408" s="6">
        <f t="shared" si="13"/>
        <v>2.9623815448857121E-3</v>
      </c>
      <c r="D408" s="4">
        <f t="shared" si="12"/>
        <v>3352.9078848924687</v>
      </c>
    </row>
    <row r="409" spans="1:4" x14ac:dyDescent="0.3">
      <c r="A409" s="1">
        <v>404</v>
      </c>
      <c r="B409" s="4">
        <v>2202.3500979999999</v>
      </c>
      <c r="C409" s="6">
        <f t="shared" si="13"/>
        <v>6.8662405582276508E-3</v>
      </c>
      <c r="D409" s="4">
        <f t="shared" si="12"/>
        <v>3366.02274719051</v>
      </c>
    </row>
    <row r="410" spans="1:4" x14ac:dyDescent="0.3">
      <c r="A410" s="1">
        <v>405</v>
      </c>
      <c r="B410" s="4">
        <v>2101.3000489999999</v>
      </c>
      <c r="C410" s="6">
        <f t="shared" si="13"/>
        <v>-4.6968792443734038E-2</v>
      </c>
      <c r="D410" s="4">
        <f t="shared" si="12"/>
        <v>3189.6041579278053</v>
      </c>
    </row>
    <row r="411" spans="1:4" x14ac:dyDescent="0.3">
      <c r="A411" s="1">
        <v>406</v>
      </c>
      <c r="B411" s="4">
        <v>2157.3999020000001</v>
      </c>
      <c r="C411" s="6">
        <f t="shared" si="13"/>
        <v>2.6347523397756468E-2</v>
      </c>
      <c r="D411" s="4">
        <f t="shared" si="12"/>
        <v>3432.2400935769369</v>
      </c>
    </row>
    <row r="412" spans="1:4" x14ac:dyDescent="0.3">
      <c r="A412" s="1">
        <v>407</v>
      </c>
      <c r="B412" s="4">
        <v>2134.959961</v>
      </c>
      <c r="C412" s="6">
        <f t="shared" si="13"/>
        <v>-1.0455854659382228E-2</v>
      </c>
      <c r="D412" s="4">
        <f t="shared" si="12"/>
        <v>3308.2182733286272</v>
      </c>
    </row>
    <row r="413" spans="1:4" x14ac:dyDescent="0.3">
      <c r="A413" s="1">
        <v>408</v>
      </c>
      <c r="B413" s="4">
        <v>2181.860107</v>
      </c>
      <c r="C413" s="6">
        <f t="shared" si="13"/>
        <v>2.1729880198529304E-2</v>
      </c>
      <c r="D413" s="4">
        <f t="shared" si="12"/>
        <v>3416.4277693830386</v>
      </c>
    </row>
    <row r="414" spans="1:4" x14ac:dyDescent="0.3">
      <c r="A414" s="1">
        <v>409</v>
      </c>
      <c r="B414" s="4">
        <v>2174.8400879999999</v>
      </c>
      <c r="C414" s="6">
        <f t="shared" si="13"/>
        <v>-3.2226339941928191E-3</v>
      </c>
      <c r="D414" s="4">
        <f t="shared" si="12"/>
        <v>3332.2340972774014</v>
      </c>
    </row>
    <row r="415" spans="1:4" x14ac:dyDescent="0.3">
      <c r="A415" s="1">
        <v>410</v>
      </c>
      <c r="B415" s="4">
        <v>2155.8999020000001</v>
      </c>
      <c r="C415" s="6">
        <f t="shared" si="13"/>
        <v>-8.7469147539266066E-3</v>
      </c>
      <c r="D415" s="4">
        <f t="shared" si="12"/>
        <v>3313.8766530902672</v>
      </c>
    </row>
    <row r="416" spans="1:4" x14ac:dyDescent="0.3">
      <c r="A416" s="1">
        <v>411</v>
      </c>
      <c r="B416" s="4">
        <v>2174.4399410000001</v>
      </c>
      <c r="C416" s="6">
        <f t="shared" si="13"/>
        <v>8.5629086662704461E-3</v>
      </c>
      <c r="D416" s="4">
        <f t="shared" si="12"/>
        <v>3371.7386182334876</v>
      </c>
    </row>
    <row r="417" spans="1:4" x14ac:dyDescent="0.3">
      <c r="A417" s="1">
        <v>412</v>
      </c>
      <c r="B417" s="4">
        <v>2145.76001</v>
      </c>
      <c r="C417" s="6">
        <f t="shared" si="13"/>
        <v>-1.3277326350593513E-2</v>
      </c>
      <c r="D417" s="4">
        <f t="shared" si="12"/>
        <v>3298.8973846173017</v>
      </c>
    </row>
    <row r="418" spans="1:4" x14ac:dyDescent="0.3">
      <c r="A418" s="1">
        <v>413</v>
      </c>
      <c r="B418" s="4">
        <v>2146</v>
      </c>
      <c r="C418" s="6">
        <f t="shared" si="13"/>
        <v>1.1183756766033858E-4</v>
      </c>
      <c r="D418" s="4">
        <f t="shared" si="12"/>
        <v>3343.3638827764339</v>
      </c>
    </row>
    <row r="419" spans="1:4" x14ac:dyDescent="0.3">
      <c r="A419" s="1">
        <v>414</v>
      </c>
      <c r="B419" s="4">
        <v>2164.320068</v>
      </c>
      <c r="C419" s="6">
        <f t="shared" si="13"/>
        <v>8.5006115688836363E-3</v>
      </c>
      <c r="D419" s="4">
        <f t="shared" si="12"/>
        <v>3371.5285752470268</v>
      </c>
    </row>
    <row r="420" spans="1:4" x14ac:dyDescent="0.3">
      <c r="A420" s="1">
        <v>415</v>
      </c>
      <c r="B420" s="4">
        <v>2137.530029</v>
      </c>
      <c r="C420" s="6">
        <f t="shared" si="13"/>
        <v>-1.2455285392322792E-2</v>
      </c>
      <c r="D420" s="4">
        <f t="shared" si="12"/>
        <v>3301.6103283072316</v>
      </c>
    </row>
    <row r="421" spans="1:4" x14ac:dyDescent="0.3">
      <c r="A421" s="1">
        <v>416</v>
      </c>
      <c r="B421" s="4">
        <v>2233.8500979999999</v>
      </c>
      <c r="C421" s="6">
        <f t="shared" si="13"/>
        <v>4.4075627742041094E-2</v>
      </c>
      <c r="D421" s="4">
        <f t="shared" si="12"/>
        <v>3493.6297574580267</v>
      </c>
    </row>
    <row r="422" spans="1:4" x14ac:dyDescent="0.3">
      <c r="A422" s="1">
        <v>417</v>
      </c>
      <c r="B422" s="4">
        <v>2222.280029</v>
      </c>
      <c r="C422" s="6">
        <f t="shared" si="13"/>
        <v>-5.1928891976705449E-3</v>
      </c>
      <c r="D422" s="4">
        <f t="shared" si="12"/>
        <v>3325.675209171493</v>
      </c>
    </row>
    <row r="423" spans="1:4" x14ac:dyDescent="0.3">
      <c r="A423" s="1">
        <v>418</v>
      </c>
      <c r="B423" s="4">
        <v>2188.3100589999999</v>
      </c>
      <c r="C423" s="6">
        <f t="shared" si="13"/>
        <v>-1.5404125542911538E-2</v>
      </c>
      <c r="D423" s="4">
        <f t="shared" si="12"/>
        <v>3291.8887479473942</v>
      </c>
    </row>
    <row r="424" spans="1:4" x14ac:dyDescent="0.3">
      <c r="A424" s="1">
        <v>419</v>
      </c>
      <c r="B424" s="4">
        <v>2207.6201169999999</v>
      </c>
      <c r="C424" s="6">
        <f t="shared" si="13"/>
        <v>8.7854817661433167E-3</v>
      </c>
      <c r="D424" s="4">
        <f t="shared" si="12"/>
        <v>3372.489160071822</v>
      </c>
    </row>
    <row r="425" spans="1:4" x14ac:dyDescent="0.3">
      <c r="A425" s="1">
        <v>420</v>
      </c>
      <c r="B425" s="4">
        <v>2201.9799800000001</v>
      </c>
      <c r="C425" s="6">
        <f t="shared" si="13"/>
        <v>-2.5581186282981568E-3</v>
      </c>
      <c r="D425" s="4">
        <f t="shared" si="12"/>
        <v>3334.4491539258793</v>
      </c>
    </row>
    <row r="426" spans="1:4" x14ac:dyDescent="0.3">
      <c r="A426" s="1">
        <v>421</v>
      </c>
      <c r="B426" s="4">
        <v>2192.6999510000001</v>
      </c>
      <c r="C426" s="6">
        <f t="shared" si="13"/>
        <v>-4.2233076989314769E-3</v>
      </c>
      <c r="D426" s="4">
        <f t="shared" si="12"/>
        <v>3328.9012860446128</v>
      </c>
    </row>
    <row r="427" spans="1:4" x14ac:dyDescent="0.3">
      <c r="A427" s="1">
        <v>422</v>
      </c>
      <c r="B427" s="4">
        <v>2232.4799800000001</v>
      </c>
      <c r="C427" s="6">
        <f t="shared" si="13"/>
        <v>1.7979427377672552E-2</v>
      </c>
      <c r="D427" s="4">
        <f t="shared" si="12"/>
        <v>3403.6386157676347</v>
      </c>
    </row>
    <row r="428" spans="1:4" x14ac:dyDescent="0.3">
      <c r="A428" s="1">
        <v>423</v>
      </c>
      <c r="B428" s="4">
        <v>2220</v>
      </c>
      <c r="C428" s="6">
        <f t="shared" si="13"/>
        <v>-5.6058703189245072E-3</v>
      </c>
      <c r="D428" s="4">
        <f t="shared" si="12"/>
        <v>3324.3020516582642</v>
      </c>
    </row>
    <row r="429" spans="1:4" x14ac:dyDescent="0.3">
      <c r="A429" s="1">
        <v>424</v>
      </c>
      <c r="B429" s="4">
        <v>2223</v>
      </c>
      <c r="C429" s="6">
        <f t="shared" si="13"/>
        <v>1.3504390978715467E-3</v>
      </c>
      <c r="D429" s="4">
        <f t="shared" si="12"/>
        <v>3347.5075440405408</v>
      </c>
    </row>
    <row r="430" spans="1:4" x14ac:dyDescent="0.3">
      <c r="A430" s="1">
        <v>425</v>
      </c>
      <c r="B430" s="4">
        <v>2220.959961</v>
      </c>
      <c r="C430" s="6">
        <f t="shared" si="13"/>
        <v>-9.1811769737159751E-4</v>
      </c>
      <c r="D430" s="4">
        <f t="shared" si="12"/>
        <v>3339.9221402671124</v>
      </c>
    </row>
    <row r="431" spans="1:4" x14ac:dyDescent="0.3">
      <c r="A431" s="1">
        <v>426</v>
      </c>
      <c r="B431" s="4">
        <v>2209.709961</v>
      </c>
      <c r="C431" s="6">
        <f t="shared" si="13"/>
        <v>-5.0782497341814977E-3</v>
      </c>
      <c r="D431" s="4">
        <f t="shared" si="12"/>
        <v>3326.0564846474017</v>
      </c>
    </row>
    <row r="432" spans="1:4" x14ac:dyDescent="0.3">
      <c r="A432" s="1">
        <v>427</v>
      </c>
      <c r="B432" s="4">
        <v>2225.469971</v>
      </c>
      <c r="C432" s="6">
        <f t="shared" si="13"/>
        <v>7.1068486846248289E-3</v>
      </c>
      <c r="D432" s="4">
        <f t="shared" si="12"/>
        <v>3366.8327370582865</v>
      </c>
    </row>
    <row r="433" spans="1:4" x14ac:dyDescent="0.3">
      <c r="A433" s="1">
        <v>428</v>
      </c>
      <c r="B433" s="4">
        <v>2168.929932</v>
      </c>
      <c r="C433" s="6">
        <f t="shared" si="13"/>
        <v>-2.5734189199878906E-2</v>
      </c>
      <c r="D433" s="4">
        <f t="shared" si="12"/>
        <v>3258.058363478759</v>
      </c>
    </row>
    <row r="434" spans="1:4" x14ac:dyDescent="0.3">
      <c r="A434" s="1">
        <v>429</v>
      </c>
      <c r="B434" s="4">
        <v>2189.860107</v>
      </c>
      <c r="C434" s="6">
        <f t="shared" si="13"/>
        <v>9.6037366706737213E-3</v>
      </c>
      <c r="D434" s="4">
        <f t="shared" si="12"/>
        <v>3375.2498451855608</v>
      </c>
    </row>
    <row r="435" spans="1:4" x14ac:dyDescent="0.3">
      <c r="A435" s="1">
        <v>430</v>
      </c>
      <c r="B435" s="4">
        <v>2212.9099120000001</v>
      </c>
      <c r="C435" s="6">
        <f t="shared" si="13"/>
        <v>1.0470687993928514E-2</v>
      </c>
      <c r="D435" s="4">
        <f t="shared" si="12"/>
        <v>3378.1772912984438</v>
      </c>
    </row>
    <row r="436" spans="1:4" x14ac:dyDescent="0.3">
      <c r="A436" s="1">
        <v>431</v>
      </c>
      <c r="B436" s="4">
        <v>2263.5</v>
      </c>
      <c r="C436" s="6">
        <f t="shared" si="13"/>
        <v>2.2603936194021571E-2</v>
      </c>
      <c r="D436" s="4">
        <f t="shared" si="12"/>
        <v>3419.4152239691357</v>
      </c>
    </row>
    <row r="437" spans="1:4" x14ac:dyDescent="0.3">
      <c r="A437" s="1">
        <v>432</v>
      </c>
      <c r="B437" s="4">
        <v>2249.23999</v>
      </c>
      <c r="C437" s="6">
        <f t="shared" si="13"/>
        <v>-6.3199109610343716E-3</v>
      </c>
      <c r="D437" s="4">
        <f t="shared" si="12"/>
        <v>3321.9292121394742</v>
      </c>
    </row>
    <row r="438" spans="1:4" x14ac:dyDescent="0.3">
      <c r="A438" s="1">
        <v>433</v>
      </c>
      <c r="B438" s="4">
        <v>2237.1899410000001</v>
      </c>
      <c r="C438" s="6">
        <f t="shared" si="13"/>
        <v>-5.3717892229607688E-3</v>
      </c>
      <c r="D438" s="4">
        <f t="shared" si="12"/>
        <v>3325.0802990087736</v>
      </c>
    </row>
    <row r="439" spans="1:4" x14ac:dyDescent="0.3">
      <c r="A439" s="1">
        <v>434</v>
      </c>
      <c r="B439" s="4">
        <v>2229.7299800000001</v>
      </c>
      <c r="C439" s="6">
        <f t="shared" si="13"/>
        <v>-3.3400947710523418E-3</v>
      </c>
      <c r="D439" s="4">
        <f t="shared" si="12"/>
        <v>3331.8427134582312</v>
      </c>
    </row>
    <row r="440" spans="1:4" x14ac:dyDescent="0.3">
      <c r="A440" s="1">
        <v>435</v>
      </c>
      <c r="B440" s="4">
        <v>2267.1599120000001</v>
      </c>
      <c r="C440" s="6">
        <f t="shared" si="13"/>
        <v>1.6647415137178802E-2</v>
      </c>
      <c r="D440" s="4">
        <f t="shared" si="12"/>
        <v>3399.1079455931613</v>
      </c>
    </row>
    <row r="441" spans="1:4" x14ac:dyDescent="0.3">
      <c r="A441" s="1">
        <v>436</v>
      </c>
      <c r="B441" s="4">
        <v>2203.8701169999999</v>
      </c>
      <c r="C441" s="6">
        <f t="shared" si="13"/>
        <v>-2.8312949102576798E-2</v>
      </c>
      <c r="D441" s="4">
        <f t="shared" si="12"/>
        <v>3249.6674369527791</v>
      </c>
    </row>
    <row r="442" spans="1:4" x14ac:dyDescent="0.3">
      <c r="A442" s="1">
        <v>437</v>
      </c>
      <c r="B442" s="4">
        <v>2199.919922</v>
      </c>
      <c r="C442" s="6">
        <f t="shared" si="13"/>
        <v>-1.793998362532715E-3</v>
      </c>
      <c r="D442" s="4">
        <f t="shared" si="12"/>
        <v>3336.9980478062726</v>
      </c>
    </row>
    <row r="443" spans="1:4" x14ac:dyDescent="0.3">
      <c r="A443" s="1">
        <v>438</v>
      </c>
      <c r="B443" s="4">
        <v>2167.8400879999999</v>
      </c>
      <c r="C443" s="6">
        <f t="shared" si="13"/>
        <v>-1.4689639901513256E-2</v>
      </c>
      <c r="D443" s="4">
        <f t="shared" si="12"/>
        <v>3294.2415956287336</v>
      </c>
    </row>
    <row r="444" spans="1:4" x14ac:dyDescent="0.3">
      <c r="A444" s="1">
        <v>439</v>
      </c>
      <c r="B444" s="4">
        <v>2184.790039</v>
      </c>
      <c r="C444" s="6">
        <f t="shared" si="13"/>
        <v>7.7884112301908007E-3</v>
      </c>
      <c r="D444" s="4">
        <f t="shared" si="12"/>
        <v>3369.1282263199432</v>
      </c>
    </row>
    <row r="445" spans="1:4" x14ac:dyDescent="0.3">
      <c r="A445" s="1">
        <v>440</v>
      </c>
      <c r="B445" s="4">
        <v>2156.320068</v>
      </c>
      <c r="C445" s="6">
        <f t="shared" si="13"/>
        <v>-1.3116635365655901E-2</v>
      </c>
      <c r="D445" s="4">
        <f t="shared" si="12"/>
        <v>3299.4275302809178</v>
      </c>
    </row>
    <row r="446" spans="1:4" x14ac:dyDescent="0.3">
      <c r="A446" s="1">
        <v>441</v>
      </c>
      <c r="B446" s="4">
        <v>2164.2299800000001</v>
      </c>
      <c r="C446" s="6">
        <f t="shared" si="13"/>
        <v>3.6615341793800127E-3</v>
      </c>
      <c r="D446" s="4">
        <f t="shared" si="12"/>
        <v>3355.2528989392595</v>
      </c>
    </row>
    <row r="447" spans="1:4" x14ac:dyDescent="0.3">
      <c r="A447" s="1">
        <v>442</v>
      </c>
      <c r="B447" s="4">
        <v>2209.580078</v>
      </c>
      <c r="C447" s="6">
        <f t="shared" si="13"/>
        <v>2.0737856767432179E-2</v>
      </c>
      <c r="D447" s="4">
        <f t="shared" si="12"/>
        <v>3413.0402735006096</v>
      </c>
    </row>
    <row r="448" spans="1:4" x14ac:dyDescent="0.3">
      <c r="A448" s="1">
        <v>443</v>
      </c>
      <c r="B448" s="4">
        <v>2232.7299800000001</v>
      </c>
      <c r="C448" s="6">
        <f t="shared" si="13"/>
        <v>1.0422555499820765E-2</v>
      </c>
      <c r="D448" s="4">
        <f t="shared" si="12"/>
        <v>3378.0146951129868</v>
      </c>
    </row>
    <row r="449" spans="1:4" x14ac:dyDescent="0.3">
      <c r="A449" s="1">
        <v>444</v>
      </c>
      <c r="B449" s="4">
        <v>2224.4799800000001</v>
      </c>
      <c r="C449" s="6">
        <f t="shared" si="13"/>
        <v>-3.701871572321833E-3</v>
      </c>
      <c r="D449" s="4">
        <f t="shared" si="12"/>
        <v>3330.6375480726069</v>
      </c>
    </row>
    <row r="450" spans="1:4" x14ac:dyDescent="0.3">
      <c r="A450" s="1">
        <v>445</v>
      </c>
      <c r="B450" s="4">
        <v>2187.169922</v>
      </c>
      <c r="C450" s="6">
        <f t="shared" si="13"/>
        <v>-1.6914736384062299E-2</v>
      </c>
      <c r="D450" s="4">
        <f t="shared" si="12"/>
        <v>3286.9197391810558</v>
      </c>
    </row>
    <row r="451" spans="1:4" x14ac:dyDescent="0.3">
      <c r="A451" s="1">
        <v>446</v>
      </c>
      <c r="B451" s="4">
        <v>2226.6298830000001</v>
      </c>
      <c r="C451" s="6">
        <f t="shared" si="13"/>
        <v>1.7880744069047341E-2</v>
      </c>
      <c r="D451" s="4">
        <f t="shared" si="12"/>
        <v>3403.3027500201106</v>
      </c>
    </row>
    <row r="452" spans="1:4" x14ac:dyDescent="0.3">
      <c r="A452" s="1">
        <v>447</v>
      </c>
      <c r="B452" s="4">
        <v>2390.030029</v>
      </c>
      <c r="C452" s="6">
        <f t="shared" si="13"/>
        <v>7.0816751166418002E-2</v>
      </c>
      <c r="D452" s="4">
        <f t="shared" si="12"/>
        <v>3588.3136769823054</v>
      </c>
    </row>
    <row r="453" spans="1:4" x14ac:dyDescent="0.3">
      <c r="A453" s="1">
        <v>448</v>
      </c>
      <c r="B453" s="4">
        <v>2421.4399410000001</v>
      </c>
      <c r="C453" s="6">
        <f t="shared" si="13"/>
        <v>1.3056449858718802E-2</v>
      </c>
      <c r="D453" s="4">
        <f t="shared" si="12"/>
        <v>3386.9237565756084</v>
      </c>
    </row>
    <row r="454" spans="1:4" x14ac:dyDescent="0.3">
      <c r="A454" s="1">
        <v>449</v>
      </c>
      <c r="B454" s="4">
        <v>2389.919922</v>
      </c>
      <c r="C454" s="6">
        <f t="shared" si="13"/>
        <v>-1.310252021558379E-2</v>
      </c>
      <c r="D454" s="4">
        <f t="shared" si="12"/>
        <v>3299.4741025243461</v>
      </c>
    </row>
    <row r="455" spans="1:4" x14ac:dyDescent="0.3">
      <c r="A455" s="1">
        <v>450</v>
      </c>
      <c r="B455" s="4">
        <v>2356.9399410000001</v>
      </c>
      <c r="C455" s="6">
        <f t="shared" si="13"/>
        <v>-1.3895717433492091E-2</v>
      </c>
      <c r="D455" s="4">
        <f t="shared" ref="D455:D518" si="14">$C$2*EXP(C455)</f>
        <v>3296.8580065228607</v>
      </c>
    </row>
    <row r="456" spans="1:4" x14ac:dyDescent="0.3">
      <c r="A456" s="1">
        <v>451</v>
      </c>
      <c r="B456" s="4">
        <v>2354.6499020000001</v>
      </c>
      <c r="C456" s="6">
        <f t="shared" ref="C456:C519" si="15">LN(B456/B455)</f>
        <v>-9.72087663247695E-4</v>
      </c>
      <c r="D456" s="4">
        <f t="shared" si="14"/>
        <v>3339.7418896472768</v>
      </c>
    </row>
    <row r="457" spans="1:4" x14ac:dyDescent="0.3">
      <c r="A457" s="1">
        <v>452</v>
      </c>
      <c r="B457" s="4">
        <v>2353.4799800000001</v>
      </c>
      <c r="C457" s="6">
        <f t="shared" si="15"/>
        <v>-4.9697950286058253E-4</v>
      </c>
      <c r="D457" s="4">
        <f t="shared" si="14"/>
        <v>3341.329005268572</v>
      </c>
    </row>
    <row r="458" spans="1:4" x14ac:dyDescent="0.3">
      <c r="A458" s="1">
        <v>453</v>
      </c>
      <c r="B458" s="4">
        <v>2389.98999</v>
      </c>
      <c r="C458" s="6">
        <f t="shared" si="15"/>
        <v>1.5394102306961028E-2</v>
      </c>
      <c r="D458" s="4">
        <f t="shared" si="14"/>
        <v>3394.8504685262715</v>
      </c>
    </row>
    <row r="459" spans="1:4" x14ac:dyDescent="0.3">
      <c r="A459" s="1">
        <v>454</v>
      </c>
      <c r="B459" s="4">
        <v>2356.23999</v>
      </c>
      <c r="C459" s="6">
        <f t="shared" si="15"/>
        <v>-1.4222053720831762E-2</v>
      </c>
      <c r="D459" s="4">
        <f t="shared" si="14"/>
        <v>3295.782297652092</v>
      </c>
    </row>
    <row r="460" spans="1:4" x14ac:dyDescent="0.3">
      <c r="A460" s="1">
        <v>455</v>
      </c>
      <c r="B460" s="4">
        <v>2314.929932</v>
      </c>
      <c r="C460" s="6">
        <f t="shared" si="15"/>
        <v>-1.7687703803797531E-2</v>
      </c>
      <c r="D460" s="4">
        <f t="shared" si="14"/>
        <v>3284.3800389905873</v>
      </c>
    </row>
    <row r="461" spans="1:4" x14ac:dyDescent="0.3">
      <c r="A461" s="1">
        <v>456</v>
      </c>
      <c r="B461" s="4">
        <v>2292.9399410000001</v>
      </c>
      <c r="C461" s="6">
        <f t="shared" si="15"/>
        <v>-9.5446089172235068E-3</v>
      </c>
      <c r="D461" s="4">
        <f t="shared" si="14"/>
        <v>3311.2342470822528</v>
      </c>
    </row>
    <row r="462" spans="1:4" x14ac:dyDescent="0.3">
      <c r="A462" s="1">
        <v>457</v>
      </c>
      <c r="B462" s="4">
        <v>2278.959961</v>
      </c>
      <c r="C462" s="6">
        <f t="shared" si="15"/>
        <v>-6.1156297695299641E-3</v>
      </c>
      <c r="D462" s="4">
        <f t="shared" si="14"/>
        <v>3322.6078891151342</v>
      </c>
    </row>
    <row r="463" spans="1:4" x14ac:dyDescent="0.3">
      <c r="A463" s="1">
        <v>458</v>
      </c>
      <c r="B463" s="4">
        <v>2291.6899410000001</v>
      </c>
      <c r="C463" s="6">
        <f t="shared" si="15"/>
        <v>5.5703294669331629E-3</v>
      </c>
      <c r="D463" s="4">
        <f t="shared" si="14"/>
        <v>3361.6635061833322</v>
      </c>
    </row>
    <row r="464" spans="1:4" x14ac:dyDescent="0.3">
      <c r="A464" s="1">
        <v>459</v>
      </c>
      <c r="B464" s="4">
        <v>2266.25</v>
      </c>
      <c r="C464" s="6">
        <f t="shared" si="15"/>
        <v>-1.1163027818756315E-2</v>
      </c>
      <c r="D464" s="4">
        <f t="shared" si="14"/>
        <v>3305.8796171752711</v>
      </c>
    </row>
    <row r="465" spans="1:4" x14ac:dyDescent="0.3">
      <c r="A465" s="1">
        <v>460</v>
      </c>
      <c r="B465" s="4">
        <v>2269.8500979999999</v>
      </c>
      <c r="C465" s="6">
        <f t="shared" si="15"/>
        <v>1.587310102558584E-3</v>
      </c>
      <c r="D465" s="4">
        <f t="shared" si="14"/>
        <v>3348.3005654338745</v>
      </c>
    </row>
    <row r="466" spans="1:4" x14ac:dyDescent="0.3">
      <c r="A466" s="1">
        <v>461</v>
      </c>
      <c r="B466" s="4">
        <v>2223.969971</v>
      </c>
      <c r="C466" s="6">
        <f t="shared" si="15"/>
        <v>-2.0419919140504152E-2</v>
      </c>
      <c r="D466" s="4">
        <f t="shared" si="14"/>
        <v>3275.418653268966</v>
      </c>
    </row>
    <row r="467" spans="1:4" x14ac:dyDescent="0.3">
      <c r="A467" s="1">
        <v>462</v>
      </c>
      <c r="B467" s="4">
        <v>2225.8798830000001</v>
      </c>
      <c r="C467" s="6">
        <f t="shared" si="15"/>
        <v>8.5841643199011033E-4</v>
      </c>
      <c r="D467" s="4">
        <f t="shared" si="14"/>
        <v>3345.8608995810814</v>
      </c>
    </row>
    <row r="468" spans="1:4" x14ac:dyDescent="0.3">
      <c r="A468" s="1">
        <v>463</v>
      </c>
      <c r="B468" s="4">
        <v>2228.790039</v>
      </c>
      <c r="C468" s="6">
        <f t="shared" si="15"/>
        <v>1.3065643313433105E-3</v>
      </c>
      <c r="D468" s="4">
        <f t="shared" si="14"/>
        <v>3347.3606761505152</v>
      </c>
    </row>
    <row r="469" spans="1:4" x14ac:dyDescent="0.3">
      <c r="A469" s="1">
        <v>464</v>
      </c>
      <c r="B469" s="4">
        <v>2264.3798830000001</v>
      </c>
      <c r="C469" s="6">
        <f t="shared" si="15"/>
        <v>1.584208429750307E-2</v>
      </c>
      <c r="D469" s="4">
        <f t="shared" si="14"/>
        <v>3396.3716411002733</v>
      </c>
    </row>
    <row r="470" spans="1:4" x14ac:dyDescent="0.3">
      <c r="A470" s="1">
        <v>465</v>
      </c>
      <c r="B470" s="4">
        <v>2273.080078</v>
      </c>
      <c r="C470" s="6">
        <f t="shared" si="15"/>
        <v>3.8348352324152615E-3</v>
      </c>
      <c r="D470" s="4">
        <f t="shared" si="14"/>
        <v>3355.8344181873385</v>
      </c>
    </row>
    <row r="471" spans="1:4" x14ac:dyDescent="0.3">
      <c r="A471" s="1">
        <v>466</v>
      </c>
      <c r="B471" s="4">
        <v>2349.219971</v>
      </c>
      <c r="C471" s="6">
        <f t="shared" si="15"/>
        <v>3.2947571479757541E-2</v>
      </c>
      <c r="D471" s="4">
        <f t="shared" si="14"/>
        <v>3454.9679632364846</v>
      </c>
    </row>
    <row r="472" spans="1:4" x14ac:dyDescent="0.3">
      <c r="A472" s="1">
        <v>467</v>
      </c>
      <c r="B472" s="4">
        <v>2356.290039</v>
      </c>
      <c r="C472" s="6">
        <f t="shared" si="15"/>
        <v>3.00501892686741E-3</v>
      </c>
      <c r="D472" s="4">
        <f t="shared" si="14"/>
        <v>3353.0508471544531</v>
      </c>
    </row>
    <row r="473" spans="1:4" x14ac:dyDescent="0.3">
      <c r="A473" s="1">
        <v>468</v>
      </c>
      <c r="B473" s="4">
        <v>2338</v>
      </c>
      <c r="C473" s="6">
        <f t="shared" si="15"/>
        <v>-7.7925016989783017E-3</v>
      </c>
      <c r="D473" s="4">
        <f t="shared" si="14"/>
        <v>3317.0409700229607</v>
      </c>
    </row>
    <row r="474" spans="1:4" x14ac:dyDescent="0.3">
      <c r="A474" s="1">
        <v>469</v>
      </c>
      <c r="B474" s="4">
        <v>2388.219971</v>
      </c>
      <c r="C474" s="6">
        <f t="shared" si="15"/>
        <v>2.1252443397267191E-2</v>
      </c>
      <c r="D474" s="4">
        <f t="shared" si="14"/>
        <v>3414.7970303554707</v>
      </c>
    </row>
    <row r="475" spans="1:4" x14ac:dyDescent="0.3">
      <c r="A475" s="1">
        <v>470</v>
      </c>
      <c r="B475" s="4">
        <v>2381.26001</v>
      </c>
      <c r="C475" s="6">
        <f t="shared" si="15"/>
        <v>-2.9185428885646235E-3</v>
      </c>
      <c r="D475" s="4">
        <f t="shared" si="14"/>
        <v>3333.2475541120493</v>
      </c>
    </row>
    <row r="476" spans="1:4" x14ac:dyDescent="0.3">
      <c r="A476" s="1">
        <v>471</v>
      </c>
      <c r="B476" s="4">
        <v>2421.5200199999999</v>
      </c>
      <c r="C476" s="6">
        <f t="shared" si="15"/>
        <v>1.6765686871116549E-2</v>
      </c>
      <c r="D476" s="4">
        <f t="shared" si="14"/>
        <v>3399.5099877583716</v>
      </c>
    </row>
    <row r="477" spans="1:4" x14ac:dyDescent="0.3">
      <c r="A477" s="1">
        <v>472</v>
      </c>
      <c r="B477" s="4">
        <v>2427.969971</v>
      </c>
      <c r="C477" s="6">
        <f t="shared" si="15"/>
        <v>2.6600548986525025E-3</v>
      </c>
      <c r="D477" s="4">
        <f t="shared" si="14"/>
        <v>3351.8943647112987</v>
      </c>
    </row>
    <row r="478" spans="1:4" x14ac:dyDescent="0.3">
      <c r="A478" s="1">
        <v>473</v>
      </c>
      <c r="B478" s="4">
        <v>2479.389893</v>
      </c>
      <c r="C478" s="6">
        <f t="shared" si="15"/>
        <v>2.0957013695803467E-2</v>
      </c>
      <c r="D478" s="4">
        <f t="shared" si="14"/>
        <v>3413.7883468930968</v>
      </c>
    </row>
    <row r="479" spans="1:4" x14ac:dyDescent="0.3">
      <c r="A479" s="1">
        <v>474</v>
      </c>
      <c r="B479" s="4">
        <v>2438.5900879999999</v>
      </c>
      <c r="C479" s="6">
        <f t="shared" si="15"/>
        <v>-1.6592479515630365E-2</v>
      </c>
      <c r="D479" s="4">
        <f t="shared" si="14"/>
        <v>3287.9791423337947</v>
      </c>
    </row>
    <row r="480" spans="1:4" x14ac:dyDescent="0.3">
      <c r="A480" s="1">
        <v>475</v>
      </c>
      <c r="B480" s="4">
        <v>2477.959961</v>
      </c>
      <c r="C480" s="6">
        <f t="shared" si="15"/>
        <v>1.6015585779351634E-2</v>
      </c>
      <c r="D480" s="4">
        <f t="shared" si="14"/>
        <v>3396.9609677359567</v>
      </c>
    </row>
    <row r="481" spans="1:4" x14ac:dyDescent="0.3">
      <c r="A481" s="1">
        <v>476</v>
      </c>
      <c r="B481" s="4">
        <v>2477.25</v>
      </c>
      <c r="C481" s="6">
        <f t="shared" si="15"/>
        <v>-2.8655133100138669E-4</v>
      </c>
      <c r="D481" s="4">
        <f t="shared" si="14"/>
        <v>3342.03218900497</v>
      </c>
    </row>
    <row r="482" spans="1:4" x14ac:dyDescent="0.3">
      <c r="A482" s="1">
        <v>477</v>
      </c>
      <c r="B482" s="4">
        <v>2396.969971</v>
      </c>
      <c r="C482" s="6">
        <f t="shared" si="15"/>
        <v>-3.2943646326109327E-2</v>
      </c>
      <c r="D482" s="4">
        <f t="shared" si="14"/>
        <v>3234.6539991456616</v>
      </c>
    </row>
    <row r="483" spans="1:4" x14ac:dyDescent="0.3">
      <c r="A483" s="1">
        <v>478</v>
      </c>
      <c r="B483" s="4">
        <v>2389.6599120000001</v>
      </c>
      <c r="C483" s="6">
        <f t="shared" si="15"/>
        <v>-3.0543680467223894E-3</v>
      </c>
      <c r="D483" s="4">
        <f t="shared" si="14"/>
        <v>3332.7948459811059</v>
      </c>
    </row>
    <row r="484" spans="1:4" x14ac:dyDescent="0.3">
      <c r="A484" s="1">
        <v>479</v>
      </c>
      <c r="B484" s="4">
        <v>2349.719971</v>
      </c>
      <c r="C484" s="6">
        <f t="shared" si="15"/>
        <v>-1.6854899804837176E-2</v>
      </c>
      <c r="D484" s="4">
        <f t="shared" si="14"/>
        <v>3287.1164230988238</v>
      </c>
    </row>
    <row r="485" spans="1:4" x14ac:dyDescent="0.3">
      <c r="A485" s="1">
        <v>480</v>
      </c>
      <c r="B485" s="4">
        <v>2314.6999510000001</v>
      </c>
      <c r="C485" s="6">
        <f t="shared" si="15"/>
        <v>-1.5016091440347006E-2</v>
      </c>
      <c r="D485" s="4">
        <f t="shared" si="14"/>
        <v>3293.1663609061143</v>
      </c>
    </row>
    <row r="486" spans="1:4" x14ac:dyDescent="0.3">
      <c r="A486" s="1">
        <v>481</v>
      </c>
      <c r="B486" s="4">
        <v>2252.0500489999999</v>
      </c>
      <c r="C486" s="6">
        <f t="shared" si="15"/>
        <v>-2.7439134063251349E-2</v>
      </c>
      <c r="D486" s="4">
        <f t="shared" si="14"/>
        <v>3252.5082862396489</v>
      </c>
    </row>
    <row r="487" spans="1:4" x14ac:dyDescent="0.3">
      <c r="A487" s="1">
        <v>482</v>
      </c>
      <c r="B487" s="4">
        <v>2220.0600589999999</v>
      </c>
      <c r="C487" s="6">
        <f t="shared" si="15"/>
        <v>-1.4306685153754951E-2</v>
      </c>
      <c r="D487" s="4">
        <f t="shared" si="14"/>
        <v>3295.5033826762924</v>
      </c>
    </row>
    <row r="488" spans="1:4" x14ac:dyDescent="0.3">
      <c r="A488" s="1">
        <v>483</v>
      </c>
      <c r="B488" s="4">
        <v>2278.9799800000001</v>
      </c>
      <c r="C488" s="6">
        <f t="shared" si="15"/>
        <v>2.6193716548484153E-2</v>
      </c>
      <c r="D488" s="4">
        <f t="shared" si="14"/>
        <v>3431.7122321375909</v>
      </c>
    </row>
    <row r="489" spans="1:4" x14ac:dyDescent="0.3">
      <c r="A489" s="1">
        <v>484</v>
      </c>
      <c r="B489" s="4">
        <v>2207.830078</v>
      </c>
      <c r="C489" s="6">
        <f t="shared" si="15"/>
        <v>-3.1717797644395723E-2</v>
      </c>
      <c r="D489" s="4">
        <f t="shared" si="14"/>
        <v>3238.6216268450585</v>
      </c>
    </row>
    <row r="490" spans="1:4" x14ac:dyDescent="0.3">
      <c r="A490" s="1">
        <v>485</v>
      </c>
      <c r="B490" s="4">
        <v>2228.4399410000001</v>
      </c>
      <c r="C490" s="6">
        <f t="shared" si="15"/>
        <v>9.2915946002893202E-3</v>
      </c>
      <c r="D490" s="4">
        <f t="shared" si="14"/>
        <v>3374.1964521235186</v>
      </c>
    </row>
    <row r="491" spans="1:4" x14ac:dyDescent="0.3">
      <c r="A491" s="1">
        <v>486</v>
      </c>
      <c r="B491" s="4">
        <v>2210.76001</v>
      </c>
      <c r="C491" s="6">
        <f t="shared" si="15"/>
        <v>-7.965410287615016E-3</v>
      </c>
      <c r="D491" s="4">
        <f t="shared" si="14"/>
        <v>3316.4674747329436</v>
      </c>
    </row>
    <row r="492" spans="1:4" x14ac:dyDescent="0.3">
      <c r="A492" s="1">
        <v>487</v>
      </c>
      <c r="B492" s="4">
        <v>2211.1298830000001</v>
      </c>
      <c r="C492" s="6">
        <f t="shared" si="15"/>
        <v>1.6729181857217063E-4</v>
      </c>
      <c r="D492" s="4">
        <f t="shared" si="14"/>
        <v>3343.5492916568869</v>
      </c>
    </row>
    <row r="493" spans="1:4" x14ac:dyDescent="0.3">
      <c r="A493" s="1">
        <v>488</v>
      </c>
      <c r="B493" s="4">
        <v>2279.889893</v>
      </c>
      <c r="C493" s="6">
        <f t="shared" si="15"/>
        <v>3.0623505099183095E-2</v>
      </c>
      <c r="D493" s="4">
        <f t="shared" si="14"/>
        <v>3446.9477117555516</v>
      </c>
    </row>
    <row r="494" spans="1:4" x14ac:dyDescent="0.3">
      <c r="A494" s="1">
        <v>489</v>
      </c>
      <c r="B494" s="4">
        <v>2237.1298830000001</v>
      </c>
      <c r="C494" s="6">
        <f t="shared" si="15"/>
        <v>-1.8933407191127703E-2</v>
      </c>
      <c r="D494" s="4">
        <f t="shared" si="14"/>
        <v>3280.291222905505</v>
      </c>
    </row>
    <row r="495" spans="1:4" x14ac:dyDescent="0.3">
      <c r="A495" s="1">
        <v>490</v>
      </c>
      <c r="B495" s="4">
        <v>2285.330078</v>
      </c>
      <c r="C495" s="6">
        <f t="shared" si="15"/>
        <v>2.1316726115373847E-2</v>
      </c>
      <c r="D495" s="4">
        <f t="shared" si="14"/>
        <v>3415.0165498459437</v>
      </c>
    </row>
    <row r="496" spans="1:4" x14ac:dyDescent="0.3">
      <c r="A496" s="1">
        <v>491</v>
      </c>
      <c r="B496" s="4">
        <v>2295.75</v>
      </c>
      <c r="C496" s="6">
        <f t="shared" si="15"/>
        <v>4.5491193308811097E-3</v>
      </c>
      <c r="D496" s="4">
        <f t="shared" si="14"/>
        <v>3358.2322936295336</v>
      </c>
    </row>
    <row r="497" spans="1:4" x14ac:dyDescent="0.3">
      <c r="A497" s="1">
        <v>492</v>
      </c>
      <c r="B497" s="4">
        <v>2324.5</v>
      </c>
      <c r="C497" s="6">
        <f t="shared" si="15"/>
        <v>1.2445374637007898E-2</v>
      </c>
      <c r="D497" s="4">
        <f t="shared" si="14"/>
        <v>3384.8547236219101</v>
      </c>
    </row>
    <row r="498" spans="1:4" x14ac:dyDescent="0.3">
      <c r="A498" s="1">
        <v>493</v>
      </c>
      <c r="B498" s="4">
        <v>2328.320068</v>
      </c>
      <c r="C498" s="6">
        <f t="shared" si="15"/>
        <v>1.642044524615729E-3</v>
      </c>
      <c r="D498" s="4">
        <f t="shared" si="14"/>
        <v>3348.4838377458032</v>
      </c>
    </row>
    <row r="499" spans="1:4" x14ac:dyDescent="0.3">
      <c r="A499" s="1">
        <v>494</v>
      </c>
      <c r="B499" s="4">
        <v>2320.6599120000001</v>
      </c>
      <c r="C499" s="6">
        <f t="shared" si="15"/>
        <v>-3.2954166140734325E-3</v>
      </c>
      <c r="D499" s="4">
        <f t="shared" si="14"/>
        <v>3331.9915773754701</v>
      </c>
    </row>
    <row r="500" spans="1:4" x14ac:dyDescent="0.3">
      <c r="A500" s="1">
        <v>495</v>
      </c>
      <c r="B500" s="4">
        <v>2349.3100589999999</v>
      </c>
      <c r="C500" s="6">
        <f t="shared" si="15"/>
        <v>1.2270103075585832E-2</v>
      </c>
      <c r="D500" s="4">
        <f t="shared" si="14"/>
        <v>3384.2615068378486</v>
      </c>
    </row>
    <row r="501" spans="1:4" x14ac:dyDescent="0.3">
      <c r="A501" s="1">
        <v>496</v>
      </c>
      <c r="B501" s="4">
        <v>2377.040039</v>
      </c>
      <c r="C501" s="6">
        <f t="shared" si="15"/>
        <v>1.1734339443169248E-2</v>
      </c>
      <c r="D501" s="4">
        <f t="shared" si="14"/>
        <v>3382.4488282268958</v>
      </c>
    </row>
    <row r="502" spans="1:4" x14ac:dyDescent="0.3">
      <c r="A502" s="1">
        <v>497</v>
      </c>
      <c r="B502" s="4">
        <v>2341.919922</v>
      </c>
      <c r="C502" s="6">
        <f t="shared" si="15"/>
        <v>-1.4884960130305777E-2</v>
      </c>
      <c r="D502" s="4">
        <f t="shared" si="14"/>
        <v>3293.5982264401314</v>
      </c>
    </row>
    <row r="503" spans="1:4" x14ac:dyDescent="0.3">
      <c r="A503" s="1">
        <v>498</v>
      </c>
      <c r="B503" s="4">
        <v>2374.1599120000001</v>
      </c>
      <c r="C503" s="6">
        <f t="shared" si="15"/>
        <v>1.3672581201830512E-2</v>
      </c>
      <c r="D503" s="4">
        <f t="shared" si="14"/>
        <v>3389.0111894591419</v>
      </c>
    </row>
    <row r="504" spans="1:4" x14ac:dyDescent="0.3">
      <c r="A504" s="1">
        <v>499</v>
      </c>
      <c r="B504" s="4">
        <v>2364.540039</v>
      </c>
      <c r="C504" s="6">
        <f t="shared" si="15"/>
        <v>-4.06013730117621E-3</v>
      </c>
      <c r="D504" s="4">
        <f t="shared" si="14"/>
        <v>3329.444508509252</v>
      </c>
    </row>
    <row r="505" spans="1:4" x14ac:dyDescent="0.3">
      <c r="A505" s="1">
        <v>500</v>
      </c>
      <c r="B505" s="4">
        <v>2341.6201169999999</v>
      </c>
      <c r="C505" s="6">
        <f t="shared" si="15"/>
        <v>-9.7404688552455623E-3</v>
      </c>
      <c r="D505" s="4">
        <f t="shared" si="14"/>
        <v>3310.585772455016</v>
      </c>
    </row>
    <row r="506" spans="1:4" x14ac:dyDescent="0.3">
      <c r="A506" s="1">
        <v>501</v>
      </c>
      <c r="B506" s="4">
        <v>2345.290039</v>
      </c>
      <c r="C506" s="6">
        <f t="shared" si="15"/>
        <v>1.5660307656324749E-3</v>
      </c>
      <c r="D506" s="4">
        <f t="shared" si="14"/>
        <v>3348.2293165760798</v>
      </c>
    </row>
    <row r="507" spans="1:4" x14ac:dyDescent="0.3">
      <c r="A507" s="1">
        <v>502</v>
      </c>
      <c r="B507" s="4">
        <v>2286.5600589999999</v>
      </c>
      <c r="C507" s="6">
        <f t="shared" si="15"/>
        <v>-2.5360547704234983E-2</v>
      </c>
      <c r="D507" s="4">
        <f t="shared" si="14"/>
        <v>3259.2759367323647</v>
      </c>
    </row>
    <row r="508" spans="1:4" x14ac:dyDescent="0.3">
      <c r="A508" s="1">
        <v>503</v>
      </c>
      <c r="B508" s="4">
        <v>2302.540039</v>
      </c>
      <c r="C508" s="6">
        <f t="shared" si="15"/>
        <v>6.9643478012235511E-3</v>
      </c>
      <c r="D508" s="4">
        <f t="shared" si="14"/>
        <v>3366.3529946016652</v>
      </c>
    </row>
    <row r="509" spans="1:4" x14ac:dyDescent="0.3">
      <c r="A509" s="1">
        <v>504</v>
      </c>
      <c r="B509" s="4">
        <v>2345.26001</v>
      </c>
      <c r="C509" s="6">
        <f t="shared" si="15"/>
        <v>1.8383395860975149E-2</v>
      </c>
      <c r="D509" s="4">
        <f t="shared" si="14"/>
        <v>3405.0138562551615</v>
      </c>
    </row>
    <row r="510" spans="1:4" x14ac:dyDescent="0.3">
      <c r="A510" s="1">
        <v>505</v>
      </c>
      <c r="B510" s="4">
        <v>2225.459961</v>
      </c>
      <c r="C510" s="6">
        <f t="shared" si="15"/>
        <v>-5.2432655917822479E-2</v>
      </c>
      <c r="D510" s="4">
        <f t="shared" si="14"/>
        <v>3172.2241205864379</v>
      </c>
    </row>
    <row r="511" spans="1:4" x14ac:dyDescent="0.3">
      <c r="A511" s="1">
        <v>506</v>
      </c>
      <c r="B511" s="4">
        <v>2174.540039</v>
      </c>
      <c r="C511" s="6">
        <f t="shared" si="15"/>
        <v>-2.3146452444138346E-2</v>
      </c>
      <c r="D511" s="4">
        <f t="shared" si="14"/>
        <v>3266.5002788748038</v>
      </c>
    </row>
    <row r="512" spans="1:4" x14ac:dyDescent="0.3">
      <c r="A512" s="1">
        <v>507</v>
      </c>
      <c r="B512" s="4">
        <v>2309.2700199999999</v>
      </c>
      <c r="C512" s="6">
        <f t="shared" si="15"/>
        <v>6.011430007989816E-2</v>
      </c>
      <c r="D512" s="4">
        <f t="shared" si="14"/>
        <v>3550.114701321947</v>
      </c>
    </row>
    <row r="513" spans="1:4" x14ac:dyDescent="0.3">
      <c r="A513" s="1">
        <v>508</v>
      </c>
      <c r="B513" s="4">
        <v>2395.169922</v>
      </c>
      <c r="C513" s="6">
        <f t="shared" si="15"/>
        <v>3.6522711054712845E-2</v>
      </c>
      <c r="D513" s="4">
        <f t="shared" si="14"/>
        <v>3467.3420623176326</v>
      </c>
    </row>
    <row r="514" spans="1:4" x14ac:dyDescent="0.3">
      <c r="A514" s="1">
        <v>509</v>
      </c>
      <c r="B514" s="4">
        <v>2396.1201169999999</v>
      </c>
      <c r="C514" s="6">
        <f t="shared" si="15"/>
        <v>3.9663431131173153E-4</v>
      </c>
      <c r="D514" s="4">
        <f t="shared" si="14"/>
        <v>3344.3161975247235</v>
      </c>
    </row>
    <row r="515" spans="1:4" x14ac:dyDescent="0.3">
      <c r="A515" s="1">
        <v>510</v>
      </c>
      <c r="B515" s="4">
        <v>2439.5600589999999</v>
      </c>
      <c r="C515" s="6">
        <f t="shared" si="15"/>
        <v>1.7966908059461044E-2</v>
      </c>
      <c r="D515" s="4">
        <f t="shared" si="14"/>
        <v>3403.5960047994577</v>
      </c>
    </row>
    <row r="516" spans="1:4" x14ac:dyDescent="0.3">
      <c r="A516" s="1">
        <v>511</v>
      </c>
      <c r="B516" s="4">
        <v>2419.3400879999999</v>
      </c>
      <c r="C516" s="6">
        <f t="shared" si="15"/>
        <v>-8.3229072873440956E-3</v>
      </c>
      <c r="D516" s="4">
        <f t="shared" si="14"/>
        <v>3315.2820594648533</v>
      </c>
    </row>
    <row r="517" spans="1:4" x14ac:dyDescent="0.3">
      <c r="A517" s="1">
        <v>512</v>
      </c>
      <c r="B517" s="4">
        <v>2440.179932</v>
      </c>
      <c r="C517" s="6">
        <f t="shared" si="15"/>
        <v>8.576967136630172E-3</v>
      </c>
      <c r="D517" s="4">
        <f t="shared" si="14"/>
        <v>3371.7860200541104</v>
      </c>
    </row>
    <row r="518" spans="1:4" x14ac:dyDescent="0.3">
      <c r="A518" s="1">
        <v>513</v>
      </c>
      <c r="B518" s="4">
        <v>2500</v>
      </c>
      <c r="C518" s="6">
        <f t="shared" si="15"/>
        <v>2.4218952664947332E-2</v>
      </c>
      <c r="D518" s="4">
        <f t="shared" si="14"/>
        <v>3424.9420976715091</v>
      </c>
    </row>
    <row r="519" spans="1:4" x14ac:dyDescent="0.3">
      <c r="A519" s="1">
        <v>514</v>
      </c>
      <c r="B519" s="4">
        <v>2487.8999020000001</v>
      </c>
      <c r="C519" s="6">
        <f t="shared" si="15"/>
        <v>-4.8517901216758716E-3</v>
      </c>
      <c r="D519" s="4">
        <f t="shared" ref="D519:D582" si="16">$C$2*EXP(C519)</f>
        <v>3326.8097874031923</v>
      </c>
    </row>
    <row r="520" spans="1:4" x14ac:dyDescent="0.3">
      <c r="A520" s="1">
        <v>515</v>
      </c>
      <c r="B520" s="4">
        <v>2506.4499510000001</v>
      </c>
      <c r="C520" s="6">
        <f t="shared" ref="C520:C583" si="17">LN(B520/B519)</f>
        <v>7.4284480855633939E-3</v>
      </c>
      <c r="D520" s="4">
        <f t="shared" si="16"/>
        <v>3367.9156825775663</v>
      </c>
    </row>
    <row r="521" spans="1:4" x14ac:dyDescent="0.3">
      <c r="A521" s="1">
        <v>516</v>
      </c>
      <c r="B521" s="4">
        <v>2530.51001</v>
      </c>
      <c r="C521" s="6">
        <f t="shared" si="17"/>
        <v>9.5534775661014742E-3</v>
      </c>
      <c r="D521" s="4">
        <f t="shared" si="16"/>
        <v>3375.0802124134657</v>
      </c>
    </row>
    <row r="522" spans="1:4" x14ac:dyDescent="0.3">
      <c r="A522" s="1">
        <v>517</v>
      </c>
      <c r="B522" s="4">
        <v>2505.9499510000001</v>
      </c>
      <c r="C522" s="6">
        <f t="shared" si="17"/>
        <v>-9.7529827977007027E-3</v>
      </c>
      <c r="D522" s="4">
        <f t="shared" si="16"/>
        <v>3310.5443442343826</v>
      </c>
    </row>
    <row r="523" spans="1:4" x14ac:dyDescent="0.3">
      <c r="A523" s="1">
        <v>518</v>
      </c>
      <c r="B523" s="4">
        <v>2534.639893</v>
      </c>
      <c r="C523" s="6">
        <f t="shared" si="17"/>
        <v>1.1383688302679305E-2</v>
      </c>
      <c r="D523" s="4">
        <f t="shared" si="16"/>
        <v>3381.2629766098908</v>
      </c>
    </row>
    <row r="524" spans="1:4" x14ac:dyDescent="0.3">
      <c r="A524" s="1">
        <v>519</v>
      </c>
      <c r="B524" s="4">
        <v>2479.5600589999999</v>
      </c>
      <c r="C524" s="6">
        <f t="shared" si="17"/>
        <v>-2.1970424033202339E-2</v>
      </c>
      <c r="D524" s="4">
        <f t="shared" si="16"/>
        <v>3270.344035747728</v>
      </c>
    </row>
    <row r="525" spans="1:4" x14ac:dyDescent="0.3">
      <c r="A525" s="1">
        <v>520</v>
      </c>
      <c r="B525" s="4">
        <v>2463.6599120000001</v>
      </c>
      <c r="C525" s="6">
        <f t="shared" si="17"/>
        <v>-6.433135457932935E-3</v>
      </c>
      <c r="D525" s="4">
        <f t="shared" si="16"/>
        <v>3321.5531096681057</v>
      </c>
    </row>
    <row r="526" spans="1:4" x14ac:dyDescent="0.3">
      <c r="A526" s="1">
        <v>521</v>
      </c>
      <c r="B526" s="4">
        <v>2495.5500489999999</v>
      </c>
      <c r="C526" s="6">
        <f t="shared" si="17"/>
        <v>1.2861152008686988E-2</v>
      </c>
      <c r="D526" s="4">
        <f t="shared" si="16"/>
        <v>3386.2623622342762</v>
      </c>
    </row>
    <row r="527" spans="1:4" x14ac:dyDescent="0.3">
      <c r="A527" s="1">
        <v>522</v>
      </c>
      <c r="B527" s="4">
        <v>2469.330078</v>
      </c>
      <c r="C527" s="6">
        <f t="shared" si="17"/>
        <v>-1.0562275056310477E-2</v>
      </c>
      <c r="D527" s="4">
        <f t="shared" si="16"/>
        <v>3307.8662301594736</v>
      </c>
    </row>
    <row r="528" spans="1:4" x14ac:dyDescent="0.3">
      <c r="A528" s="1">
        <v>523</v>
      </c>
      <c r="B528" s="4">
        <v>2516.76001</v>
      </c>
      <c r="C528" s="6">
        <f t="shared" si="17"/>
        <v>1.9025473600865334E-2</v>
      </c>
      <c r="D528" s="4">
        <f t="shared" si="16"/>
        <v>3407.2008418885425</v>
      </c>
    </row>
    <row r="529" spans="1:4" x14ac:dyDescent="0.3">
      <c r="A529" s="1">
        <v>524</v>
      </c>
      <c r="B529" s="4">
        <v>2501.0500489999999</v>
      </c>
      <c r="C529" s="6">
        <f t="shared" si="17"/>
        <v>-6.2617006806148087E-3</v>
      </c>
      <c r="D529" s="4">
        <f t="shared" si="16"/>
        <v>3322.1225881986297</v>
      </c>
    </row>
    <row r="530" spans="1:4" x14ac:dyDescent="0.3">
      <c r="A530" s="1">
        <v>525</v>
      </c>
      <c r="B530" s="4">
        <v>2527.01001</v>
      </c>
      <c r="C530" s="6">
        <f t="shared" si="17"/>
        <v>1.0326126326433515E-2</v>
      </c>
      <c r="D530" s="4">
        <f t="shared" si="16"/>
        <v>3377.6889716531218</v>
      </c>
    </row>
    <row r="531" spans="1:4" x14ac:dyDescent="0.3">
      <c r="A531" s="1">
        <v>526</v>
      </c>
      <c r="B531" s="4">
        <v>2544.669922</v>
      </c>
      <c r="C531" s="6">
        <f t="shared" si="17"/>
        <v>6.9641553139808991E-3</v>
      </c>
      <c r="D531" s="4">
        <f t="shared" si="16"/>
        <v>3366.3523466217216</v>
      </c>
    </row>
    <row r="532" spans="1:4" x14ac:dyDescent="0.3">
      <c r="A532" s="1">
        <v>527</v>
      </c>
      <c r="B532" s="4">
        <v>2517.1999510000001</v>
      </c>
      <c r="C532" s="6">
        <f t="shared" si="17"/>
        <v>-1.0853791726461171E-2</v>
      </c>
      <c r="D532" s="4">
        <f t="shared" si="16"/>
        <v>3306.9020725515893</v>
      </c>
    </row>
    <row r="533" spans="1:4" x14ac:dyDescent="0.3">
      <c r="A533" s="1">
        <v>528</v>
      </c>
      <c r="B533" s="4">
        <v>2538.0200199999999</v>
      </c>
      <c r="C533" s="6">
        <f t="shared" si="17"/>
        <v>8.2371041573840332E-3</v>
      </c>
      <c r="D533" s="4">
        <f t="shared" si="16"/>
        <v>3370.6402695220777</v>
      </c>
    </row>
    <row r="534" spans="1:4" x14ac:dyDescent="0.3">
      <c r="A534" s="1">
        <v>529</v>
      </c>
      <c r="B534" s="4">
        <v>2526.73999</v>
      </c>
      <c r="C534" s="6">
        <f t="shared" si="17"/>
        <v>-4.4543270079289302E-3</v>
      </c>
      <c r="D534" s="4">
        <f t="shared" si="16"/>
        <v>3328.1323343945492</v>
      </c>
    </row>
    <row r="535" spans="1:4" x14ac:dyDescent="0.3">
      <c r="A535" s="1">
        <v>530</v>
      </c>
      <c r="B535" s="4">
        <v>2532</v>
      </c>
      <c r="C535" s="6">
        <f t="shared" si="17"/>
        <v>2.079573927906796E-3</v>
      </c>
      <c r="D535" s="4">
        <f t="shared" si="16"/>
        <v>3349.9492184314536</v>
      </c>
    </row>
    <row r="536" spans="1:4" x14ac:dyDescent="0.3">
      <c r="A536" s="1">
        <v>531</v>
      </c>
      <c r="B536" s="4">
        <v>2529.6999510000001</v>
      </c>
      <c r="C536" s="6">
        <f t="shared" si="17"/>
        <v>-9.0880501830278273E-4</v>
      </c>
      <c r="D536" s="4">
        <f t="shared" si="16"/>
        <v>3339.953244034949</v>
      </c>
    </row>
    <row r="537" spans="1:4" x14ac:dyDescent="0.3">
      <c r="A537" s="1">
        <v>532</v>
      </c>
      <c r="B537" s="4">
        <v>2550.75</v>
      </c>
      <c r="C537" s="6">
        <f t="shared" si="17"/>
        <v>8.2867343096504394E-3</v>
      </c>
      <c r="D537" s="4">
        <f t="shared" si="16"/>
        <v>3370.8075590631574</v>
      </c>
    </row>
    <row r="538" spans="1:4" x14ac:dyDescent="0.3">
      <c r="A538" s="1">
        <v>533</v>
      </c>
      <c r="B538" s="4">
        <v>2500.3000489999999</v>
      </c>
      <c r="C538" s="6">
        <f t="shared" si="17"/>
        <v>-1.997668930089835E-2</v>
      </c>
      <c r="D538" s="4">
        <f t="shared" si="16"/>
        <v>3276.8707383332394</v>
      </c>
    </row>
    <row r="539" spans="1:4" x14ac:dyDescent="0.3">
      <c r="A539" s="1">
        <v>534</v>
      </c>
      <c r="B539" s="4">
        <v>2561.8999020000001</v>
      </c>
      <c r="C539" s="6">
        <f t="shared" si="17"/>
        <v>2.4338388181289871E-2</v>
      </c>
      <c r="D539" s="4">
        <f t="shared" si="16"/>
        <v>3425.3511818284901</v>
      </c>
    </row>
    <row r="540" spans="1:4" x14ac:dyDescent="0.3">
      <c r="A540" s="1">
        <v>535</v>
      </c>
      <c r="B540" s="4">
        <v>2558.8701169999999</v>
      </c>
      <c r="C540" s="6">
        <f t="shared" si="17"/>
        <v>-1.1833319373073432E-3</v>
      </c>
      <c r="D540" s="4">
        <f t="shared" si="16"/>
        <v>3339.0364628075654</v>
      </c>
    </row>
    <row r="541" spans="1:4" x14ac:dyDescent="0.3">
      <c r="A541" s="1">
        <v>536</v>
      </c>
      <c r="B541" s="4">
        <v>2548.98999</v>
      </c>
      <c r="C541" s="6">
        <f t="shared" si="17"/>
        <v>-3.8686021603018426E-3</v>
      </c>
      <c r="D541" s="4">
        <f t="shared" si="16"/>
        <v>3330.0822752076401</v>
      </c>
    </row>
    <row r="542" spans="1:4" x14ac:dyDescent="0.3">
      <c r="A542" s="1">
        <v>537</v>
      </c>
      <c r="B542" s="4">
        <v>2559.5200199999999</v>
      </c>
      <c r="C542" s="6">
        <f t="shared" si="17"/>
        <v>4.1225503690538188E-3</v>
      </c>
      <c r="D542" s="4">
        <f t="shared" si="16"/>
        <v>3356.8000814568122</v>
      </c>
    </row>
    <row r="543" spans="1:4" x14ac:dyDescent="0.3">
      <c r="A543" s="1">
        <v>538</v>
      </c>
      <c r="B543" s="4">
        <v>2528.8798830000001</v>
      </c>
      <c r="C543" s="6">
        <f t="shared" si="17"/>
        <v>-1.2043278013410314E-2</v>
      </c>
      <c r="D543" s="4">
        <f t="shared" si="16"/>
        <v>3302.970896387586</v>
      </c>
    </row>
    <row r="544" spans="1:4" x14ac:dyDescent="0.3">
      <c r="A544" s="1">
        <v>539</v>
      </c>
      <c r="B544" s="4">
        <v>2585.5200199999999</v>
      </c>
      <c r="C544" s="6">
        <f t="shared" si="17"/>
        <v>2.2150185295594347E-2</v>
      </c>
      <c r="D544" s="4">
        <f t="shared" si="16"/>
        <v>3417.8640131974194</v>
      </c>
    </row>
    <row r="545" spans="1:4" x14ac:dyDescent="0.3">
      <c r="A545" s="1">
        <v>540</v>
      </c>
      <c r="B545" s="4">
        <v>2654.5</v>
      </c>
      <c r="C545" s="6">
        <f t="shared" si="17"/>
        <v>2.6329657034291645E-2</v>
      </c>
      <c r="D545" s="4">
        <f t="shared" si="16"/>
        <v>3432.1787724757205</v>
      </c>
    </row>
    <row r="546" spans="1:4" x14ac:dyDescent="0.3">
      <c r="A546" s="1">
        <v>541</v>
      </c>
      <c r="B546" s="4">
        <v>2622.8999020000001</v>
      </c>
      <c r="C546" s="6">
        <f t="shared" si="17"/>
        <v>-1.1975774531995746E-2</v>
      </c>
      <c r="D546" s="4">
        <f t="shared" si="16"/>
        <v>3303.1938659476291</v>
      </c>
    </row>
    <row r="547" spans="1:4" x14ac:dyDescent="0.3">
      <c r="A547" s="1">
        <v>542</v>
      </c>
      <c r="B547" s="4">
        <v>2611.76001</v>
      </c>
      <c r="C547" s="6">
        <f t="shared" si="17"/>
        <v>-4.2562111022196834E-3</v>
      </c>
      <c r="D547" s="4">
        <f t="shared" si="16"/>
        <v>3328.7917556650623</v>
      </c>
    </row>
    <row r="548" spans="1:4" x14ac:dyDescent="0.3">
      <c r="A548" s="1">
        <v>543</v>
      </c>
      <c r="B548" s="4">
        <v>2611.429932</v>
      </c>
      <c r="C548" s="6">
        <f t="shared" si="17"/>
        <v>-1.2638943025411974E-4</v>
      </c>
      <c r="D548" s="4">
        <f t="shared" si="16"/>
        <v>3342.5674980996364</v>
      </c>
    </row>
    <row r="549" spans="1:4" x14ac:dyDescent="0.3">
      <c r="A549" s="1">
        <v>544</v>
      </c>
      <c r="B549" s="4">
        <v>2614.219971</v>
      </c>
      <c r="C549" s="6">
        <f t="shared" si="17"/>
        <v>1.0678247938156022E-3</v>
      </c>
      <c r="D549" s="4">
        <f t="shared" si="16"/>
        <v>3346.5616241971948</v>
      </c>
    </row>
    <row r="550" spans="1:4" x14ac:dyDescent="0.3">
      <c r="A550" s="1">
        <v>545</v>
      </c>
      <c r="B550" s="4">
        <v>2605.139893</v>
      </c>
      <c r="C550" s="6">
        <f t="shared" si="17"/>
        <v>-3.4793872800437985E-3</v>
      </c>
      <c r="D550" s="4">
        <f t="shared" si="16"/>
        <v>3331.3786450484854</v>
      </c>
    </row>
    <row r="551" spans="1:4" x14ac:dyDescent="0.3">
      <c r="A551" s="1">
        <v>546</v>
      </c>
      <c r="B551" s="4">
        <v>2594</v>
      </c>
      <c r="C551" s="6">
        <f t="shared" si="17"/>
        <v>-4.285289596639221E-3</v>
      </c>
      <c r="D551" s="4">
        <f t="shared" si="16"/>
        <v>3328.6949608199025</v>
      </c>
    </row>
    <row r="552" spans="1:4" x14ac:dyDescent="0.3">
      <c r="A552" s="1">
        <v>547</v>
      </c>
      <c r="B552" s="4">
        <v>2609.360107</v>
      </c>
      <c r="C552" s="6">
        <f t="shared" si="17"/>
        <v>5.9039356495373856E-3</v>
      </c>
      <c r="D552" s="4">
        <f t="shared" si="16"/>
        <v>3362.7851649985851</v>
      </c>
    </row>
    <row r="553" spans="1:4" x14ac:dyDescent="0.3">
      <c r="A553" s="1">
        <v>548</v>
      </c>
      <c r="B553" s="4">
        <v>2581.75</v>
      </c>
      <c r="C553" s="6">
        <f t="shared" si="17"/>
        <v>-1.0637557974413129E-2</v>
      </c>
      <c r="D553" s="4">
        <f t="shared" si="16"/>
        <v>3307.617213710434</v>
      </c>
    </row>
    <row r="554" spans="1:4" x14ac:dyDescent="0.3">
      <c r="A554" s="1">
        <v>549</v>
      </c>
      <c r="B554" s="4">
        <v>2548.919922</v>
      </c>
      <c r="C554" s="6">
        <f t="shared" si="17"/>
        <v>-1.2797754125915725E-2</v>
      </c>
      <c r="D554" s="4">
        <f t="shared" si="16"/>
        <v>3300.4798235915873</v>
      </c>
    </row>
    <row r="555" spans="1:4" x14ac:dyDescent="0.3">
      <c r="A555" s="1">
        <v>550</v>
      </c>
      <c r="B555" s="4">
        <v>2537.330078</v>
      </c>
      <c r="C555" s="6">
        <f t="shared" si="17"/>
        <v>-4.557331652741436E-3</v>
      </c>
      <c r="D555" s="4">
        <f t="shared" si="16"/>
        <v>3327.7895389606201</v>
      </c>
    </row>
    <row r="556" spans="1:4" x14ac:dyDescent="0.3">
      <c r="A556" s="1">
        <v>551</v>
      </c>
      <c r="B556" s="4">
        <v>2462.570068</v>
      </c>
      <c r="C556" s="6">
        <f t="shared" si="17"/>
        <v>-2.9906830121267641E-2</v>
      </c>
      <c r="D556" s="4">
        <f t="shared" si="16"/>
        <v>3244.4919793354611</v>
      </c>
    </row>
    <row r="557" spans="1:4" x14ac:dyDescent="0.3">
      <c r="A557" s="1">
        <v>552</v>
      </c>
      <c r="B557" s="4">
        <v>2446.610107</v>
      </c>
      <c r="C557" s="6">
        <f t="shared" si="17"/>
        <v>-6.5021110083124016E-3</v>
      </c>
      <c r="D557" s="4">
        <f t="shared" si="16"/>
        <v>3321.3240116154248</v>
      </c>
    </row>
    <row r="558" spans="1:4" x14ac:dyDescent="0.3">
      <c r="A558" s="1">
        <v>553</v>
      </c>
      <c r="B558" s="4">
        <v>2509.8798830000001</v>
      </c>
      <c r="C558" s="6">
        <f t="shared" si="17"/>
        <v>2.5531459958962277E-2</v>
      </c>
      <c r="D558" s="4">
        <f t="shared" si="16"/>
        <v>3429.4403104790949</v>
      </c>
    </row>
    <row r="559" spans="1:4" x14ac:dyDescent="0.3">
      <c r="A559" s="1">
        <v>554</v>
      </c>
      <c r="B559" s="4">
        <v>2565.9499510000001</v>
      </c>
      <c r="C559" s="6">
        <f t="shared" si="17"/>
        <v>2.2093864706585278E-2</v>
      </c>
      <c r="D559" s="4">
        <f t="shared" si="16"/>
        <v>3417.6715225036887</v>
      </c>
    </row>
    <row r="560" spans="1:4" x14ac:dyDescent="0.3">
      <c r="A560" s="1">
        <v>555</v>
      </c>
      <c r="B560" s="4">
        <v>2605.070068</v>
      </c>
      <c r="C560" s="6">
        <f t="shared" si="17"/>
        <v>1.5130811021710568E-2</v>
      </c>
      <c r="D560" s="4">
        <f t="shared" si="16"/>
        <v>3393.9567516422767</v>
      </c>
    </row>
    <row r="561" spans="1:4" x14ac:dyDescent="0.3">
      <c r="A561" s="1">
        <v>556</v>
      </c>
      <c r="B561" s="4">
        <v>2620.919922</v>
      </c>
      <c r="C561" s="6">
        <f t="shared" si="17"/>
        <v>6.0657990652432095E-3</v>
      </c>
      <c r="D561" s="4">
        <f t="shared" si="16"/>
        <v>3363.3295209461448</v>
      </c>
    </row>
    <row r="562" spans="1:4" x14ac:dyDescent="0.3">
      <c r="A562" s="1">
        <v>557</v>
      </c>
      <c r="B562" s="4">
        <v>2601.280029</v>
      </c>
      <c r="C562" s="6">
        <f t="shared" si="17"/>
        <v>-7.5217286892125023E-3</v>
      </c>
      <c r="D562" s="4">
        <f t="shared" si="16"/>
        <v>3317.9392568003491</v>
      </c>
    </row>
    <row r="563" spans="1:4" x14ac:dyDescent="0.3">
      <c r="A563" s="1">
        <v>558</v>
      </c>
      <c r="B563" s="4">
        <v>2595.98999</v>
      </c>
      <c r="C563" s="6">
        <f t="shared" si="17"/>
        <v>-2.0356998222220879E-3</v>
      </c>
      <c r="D563" s="4">
        <f t="shared" si="16"/>
        <v>3336.1915879723228</v>
      </c>
    </row>
    <row r="564" spans="1:4" x14ac:dyDescent="0.3">
      <c r="A564" s="1">
        <v>559</v>
      </c>
      <c r="B564" s="4">
        <v>2633.780029</v>
      </c>
      <c r="C564" s="6">
        <f t="shared" si="17"/>
        <v>1.4452144782726429E-2</v>
      </c>
      <c r="D564" s="4">
        <f t="shared" si="16"/>
        <v>3391.6541692092228</v>
      </c>
    </row>
    <row r="565" spans="1:4" x14ac:dyDescent="0.3">
      <c r="A565" s="1">
        <v>560</v>
      </c>
      <c r="B565" s="4">
        <v>2609.01001</v>
      </c>
      <c r="C565" s="6">
        <f t="shared" si="17"/>
        <v>-9.4492448186518987E-3</v>
      </c>
      <c r="D565" s="4">
        <f t="shared" si="16"/>
        <v>3311.5500350085617</v>
      </c>
    </row>
    <row r="566" spans="1:4" x14ac:dyDescent="0.3">
      <c r="A566" s="1">
        <v>561</v>
      </c>
      <c r="B566" s="4">
        <v>2636.26001</v>
      </c>
      <c r="C566" s="6">
        <f t="shared" si="17"/>
        <v>1.0390406997576025E-2</v>
      </c>
      <c r="D566" s="4">
        <f t="shared" si="16"/>
        <v>3377.9060987455928</v>
      </c>
    </row>
    <row r="567" spans="1:4" x14ac:dyDescent="0.3">
      <c r="A567" s="1">
        <v>562</v>
      </c>
      <c r="B567" s="4">
        <v>2655.040039</v>
      </c>
      <c r="C567" s="6">
        <f t="shared" si="17"/>
        <v>7.0984853189710023E-3</v>
      </c>
      <c r="D567" s="4">
        <f t="shared" si="16"/>
        <v>3366.8045791227587</v>
      </c>
    </row>
    <row r="568" spans="1:4" x14ac:dyDescent="0.3">
      <c r="A568" s="1">
        <v>563</v>
      </c>
      <c r="B568" s="4">
        <v>2655.73999</v>
      </c>
      <c r="C568" s="6">
        <f t="shared" si="17"/>
        <v>2.6359630797389644E-4</v>
      </c>
      <c r="D568" s="4">
        <f t="shared" si="16"/>
        <v>3343.8713059696724</v>
      </c>
    </row>
    <row r="569" spans="1:4" x14ac:dyDescent="0.3">
      <c r="A569" s="1">
        <v>564</v>
      </c>
      <c r="B569" s="4">
        <v>2700.9399410000001</v>
      </c>
      <c r="C569" s="6">
        <f t="shared" si="17"/>
        <v>1.687650723387879E-2</v>
      </c>
      <c r="D569" s="4">
        <f t="shared" si="16"/>
        <v>3399.8867435641505</v>
      </c>
    </row>
    <row r="570" spans="1:4" x14ac:dyDescent="0.3">
      <c r="A570" s="1">
        <v>565</v>
      </c>
      <c r="B570" s="4">
        <v>2706.040039</v>
      </c>
      <c r="C570" s="6">
        <f t="shared" si="17"/>
        <v>1.8864872928688544E-3</v>
      </c>
      <c r="D570" s="4">
        <f t="shared" si="16"/>
        <v>3349.3024504524547</v>
      </c>
    </row>
    <row r="571" spans="1:4" x14ac:dyDescent="0.3">
      <c r="A571" s="1">
        <v>566</v>
      </c>
      <c r="B571" s="4">
        <v>2707.030029</v>
      </c>
      <c r="C571" s="6">
        <f t="shared" si="17"/>
        <v>3.6577764507065826E-4</v>
      </c>
      <c r="D571" s="4">
        <f t="shared" si="16"/>
        <v>3344.2130046681136</v>
      </c>
    </row>
    <row r="572" spans="1:4" x14ac:dyDescent="0.3">
      <c r="A572" s="1">
        <v>567</v>
      </c>
      <c r="B572" s="4">
        <v>2729.2299800000001</v>
      </c>
      <c r="C572" s="6">
        <f t="shared" si="17"/>
        <v>8.167407140179191E-3</v>
      </c>
      <c r="D572" s="4">
        <f t="shared" si="16"/>
        <v>3370.4053541357671</v>
      </c>
    </row>
    <row r="573" spans="1:4" x14ac:dyDescent="0.3">
      <c r="A573" s="1">
        <v>568</v>
      </c>
      <c r="B573" s="4">
        <v>2770.6599120000001</v>
      </c>
      <c r="C573" s="6">
        <f t="shared" si="17"/>
        <v>1.5066016401967846E-2</v>
      </c>
      <c r="D573" s="4">
        <f t="shared" si="16"/>
        <v>3393.7368486294736</v>
      </c>
    </row>
    <row r="574" spans="1:4" x14ac:dyDescent="0.3">
      <c r="A574" s="1">
        <v>569</v>
      </c>
      <c r="B574" s="4">
        <v>2728.1499020000001</v>
      </c>
      <c r="C574" s="6">
        <f t="shared" si="17"/>
        <v>-1.546183931972518E-2</v>
      </c>
      <c r="D574" s="4">
        <f t="shared" si="16"/>
        <v>3291.6987660972377</v>
      </c>
    </row>
    <row r="575" spans="1:4" x14ac:dyDescent="0.3">
      <c r="A575" s="1">
        <v>570</v>
      </c>
      <c r="B575" s="4">
        <v>2672.75</v>
      </c>
      <c r="C575" s="6">
        <f t="shared" si="17"/>
        <v>-2.0515782973569464E-2</v>
      </c>
      <c r="D575" s="4">
        <f t="shared" si="16"/>
        <v>3275.1046741318323</v>
      </c>
    </row>
    <row r="576" spans="1:4" x14ac:dyDescent="0.3">
      <c r="A576" s="1">
        <v>571</v>
      </c>
      <c r="B576" s="4">
        <v>2715.25</v>
      </c>
      <c r="C576" s="6">
        <f t="shared" si="17"/>
        <v>1.5776125266536187E-2</v>
      </c>
      <c r="D576" s="4">
        <f t="shared" si="16"/>
        <v>3396.1476271059769</v>
      </c>
    </row>
    <row r="577" spans="1:4" x14ac:dyDescent="0.3">
      <c r="A577" s="1">
        <v>572</v>
      </c>
      <c r="B577" s="4">
        <v>2940.3500979999999</v>
      </c>
      <c r="C577" s="6">
        <f t="shared" si="17"/>
        <v>7.9644625035388925E-2</v>
      </c>
      <c r="D577" s="4">
        <f t="shared" si="16"/>
        <v>3620.1310909527733</v>
      </c>
    </row>
    <row r="578" spans="1:4" x14ac:dyDescent="0.3">
      <c r="A578" s="1">
        <v>573</v>
      </c>
      <c r="B578" s="4">
        <v>2878.8798830000001</v>
      </c>
      <c r="C578" s="6">
        <f t="shared" si="17"/>
        <v>-2.1127366232131396E-2</v>
      </c>
      <c r="D578" s="4">
        <f t="shared" si="16"/>
        <v>3273.1022873186348</v>
      </c>
    </row>
    <row r="579" spans="1:4" x14ac:dyDescent="0.3">
      <c r="A579" s="1">
        <v>574</v>
      </c>
      <c r="B579" s="4">
        <v>2910.6599120000001</v>
      </c>
      <c r="C579" s="6">
        <f t="shared" si="17"/>
        <v>1.0978540375986374E-2</v>
      </c>
      <c r="D579" s="4">
        <f t="shared" si="16"/>
        <v>3379.8933423962799</v>
      </c>
    </row>
    <row r="580" spans="1:4" x14ac:dyDescent="0.3">
      <c r="A580" s="1">
        <v>575</v>
      </c>
      <c r="B580" s="4">
        <v>2914.73999</v>
      </c>
      <c r="C580" s="6">
        <f t="shared" si="17"/>
        <v>1.4007892113170367E-3</v>
      </c>
      <c r="D580" s="4">
        <f t="shared" si="16"/>
        <v>3347.6760956684043</v>
      </c>
    </row>
    <row r="581" spans="1:4" x14ac:dyDescent="0.3">
      <c r="A581" s="1">
        <v>576</v>
      </c>
      <c r="B581" s="4">
        <v>2981.610107</v>
      </c>
      <c r="C581" s="6">
        <f t="shared" si="17"/>
        <v>2.2682840399313377E-2</v>
      </c>
      <c r="D581" s="4">
        <f t="shared" si="16"/>
        <v>3419.6850408546488</v>
      </c>
    </row>
    <row r="582" spans="1:4" x14ac:dyDescent="0.3">
      <c r="A582" s="1">
        <v>577</v>
      </c>
      <c r="B582" s="4">
        <v>2946.6201169999999</v>
      </c>
      <c r="C582" s="6">
        <f t="shared" si="17"/>
        <v>-1.1804668509410601E-2</v>
      </c>
      <c r="D582" s="4">
        <f t="shared" si="16"/>
        <v>3303.7591106688678</v>
      </c>
    </row>
    <row r="583" spans="1:4" x14ac:dyDescent="0.3">
      <c r="A583" s="1">
        <v>578</v>
      </c>
      <c r="B583" s="4">
        <v>2900.889893</v>
      </c>
      <c r="C583" s="6">
        <f t="shared" si="17"/>
        <v>-1.5641240882665969E-2</v>
      </c>
      <c r="D583" s="4">
        <f t="shared" ref="D583:D646" si="18">$C$2*EXP(C583)</f>
        <v>3291.1082831622339</v>
      </c>
    </row>
    <row r="584" spans="1:4" x14ac:dyDescent="0.3">
      <c r="A584" s="1">
        <v>579</v>
      </c>
      <c r="B584" s="4">
        <v>2920.429932</v>
      </c>
      <c r="C584" s="6">
        <f t="shared" ref="C584:C647" si="19">LN(B584/B583)</f>
        <v>6.7132928523843186E-3</v>
      </c>
      <c r="D584" s="4">
        <f t="shared" si="18"/>
        <v>3365.5079611021902</v>
      </c>
    </row>
    <row r="585" spans="1:4" x14ac:dyDescent="0.3">
      <c r="A585" s="1">
        <v>580</v>
      </c>
      <c r="B585" s="4">
        <v>2894.9399410000001</v>
      </c>
      <c r="C585" s="6">
        <f t="shared" si="19"/>
        <v>-8.7664773869948354E-3</v>
      </c>
      <c r="D585" s="4">
        <f t="shared" si="18"/>
        <v>3313.8118255713698</v>
      </c>
    </row>
    <row r="586" spans="1:4" x14ac:dyDescent="0.3">
      <c r="A586" s="1">
        <v>581</v>
      </c>
      <c r="B586" s="4">
        <v>2890.5</v>
      </c>
      <c r="C586" s="6">
        <f t="shared" si="19"/>
        <v>-1.5348675008019796E-3</v>
      </c>
      <c r="D586" s="4">
        <f t="shared" si="18"/>
        <v>3337.8628790333855</v>
      </c>
    </row>
    <row r="587" spans="1:4" x14ac:dyDescent="0.3">
      <c r="A587" s="1">
        <v>582</v>
      </c>
      <c r="B587" s="4">
        <v>2879.9799800000001</v>
      </c>
      <c r="C587" s="6">
        <f t="shared" si="19"/>
        <v>-3.6461548055890217E-3</v>
      </c>
      <c r="D587" s="4">
        <f t="shared" si="18"/>
        <v>3330.8231255977862</v>
      </c>
    </row>
    <row r="588" spans="1:4" x14ac:dyDescent="0.3">
      <c r="A588" s="1">
        <v>583</v>
      </c>
      <c r="B588" s="4">
        <v>2848.1499020000001</v>
      </c>
      <c r="C588" s="6">
        <f t="shared" si="19"/>
        <v>-1.1113716440988975E-2</v>
      </c>
      <c r="D588" s="4">
        <f t="shared" si="18"/>
        <v>3306.0426386733011</v>
      </c>
    </row>
    <row r="589" spans="1:4" x14ac:dyDescent="0.3">
      <c r="A589" s="1">
        <v>584</v>
      </c>
      <c r="B589" s="4">
        <v>2871.290039</v>
      </c>
      <c r="C589" s="6">
        <f t="shared" si="19"/>
        <v>8.091793427689474E-3</v>
      </c>
      <c r="D589" s="4">
        <f t="shared" si="18"/>
        <v>3370.1505149091372</v>
      </c>
    </row>
    <row r="590" spans="1:4" x14ac:dyDescent="0.3">
      <c r="A590" s="1">
        <v>585</v>
      </c>
      <c r="B590" s="4">
        <v>2986.25</v>
      </c>
      <c r="C590" s="6">
        <f t="shared" si="19"/>
        <v>3.9256999936377025E-2</v>
      </c>
      <c r="D590" s="4">
        <f t="shared" si="18"/>
        <v>3476.8357504957376</v>
      </c>
    </row>
    <row r="591" spans="1:4" x14ac:dyDescent="0.3">
      <c r="A591" s="1">
        <v>586</v>
      </c>
      <c r="B591" s="4">
        <v>2996.6499020000001</v>
      </c>
      <c r="C591" s="6">
        <f t="shared" si="19"/>
        <v>3.4765457036233533E-3</v>
      </c>
      <c r="D591" s="4">
        <f t="shared" si="18"/>
        <v>3354.6322732257786</v>
      </c>
    </row>
    <row r="592" spans="1:4" x14ac:dyDescent="0.3">
      <c r="A592" s="1">
        <v>587</v>
      </c>
      <c r="B592" s="4">
        <v>2983.3100589999999</v>
      </c>
      <c r="C592" s="6">
        <f t="shared" si="19"/>
        <v>-4.4615232257967444E-3</v>
      </c>
      <c r="D592" s="4">
        <f t="shared" si="18"/>
        <v>3328.1083845153526</v>
      </c>
    </row>
    <row r="593" spans="1:4" x14ac:dyDescent="0.3">
      <c r="A593" s="1">
        <v>588</v>
      </c>
      <c r="B593" s="4">
        <v>2960.0900879999999</v>
      </c>
      <c r="C593" s="6">
        <f t="shared" si="19"/>
        <v>-7.8137391277440585E-3</v>
      </c>
      <c r="D593" s="4">
        <f t="shared" si="18"/>
        <v>3316.9705253496813</v>
      </c>
    </row>
    <row r="594" spans="1:4" x14ac:dyDescent="0.3">
      <c r="A594" s="1">
        <v>589</v>
      </c>
      <c r="B594" s="4">
        <v>2957.8100589999999</v>
      </c>
      <c r="C594" s="6">
        <f t="shared" si="19"/>
        <v>-7.7055342475496546E-4</v>
      </c>
      <c r="D594" s="4">
        <f t="shared" si="18"/>
        <v>3340.4150298138866</v>
      </c>
    </row>
    <row r="595" spans="1:4" x14ac:dyDescent="0.3">
      <c r="A595" s="1">
        <v>590</v>
      </c>
      <c r="B595" s="4">
        <v>2992.9099120000001</v>
      </c>
      <c r="C595" s="6">
        <f t="shared" si="19"/>
        <v>1.1796979268697817E-2</v>
      </c>
      <c r="D595" s="4">
        <f t="shared" si="18"/>
        <v>3382.660710867432</v>
      </c>
    </row>
    <row r="596" spans="1:4" x14ac:dyDescent="0.3">
      <c r="A596" s="1">
        <v>591</v>
      </c>
      <c r="B596" s="4">
        <v>3036.3999020000001</v>
      </c>
      <c r="C596" s="6">
        <f t="shared" si="19"/>
        <v>1.4426442033505295E-2</v>
      </c>
      <c r="D596" s="4">
        <f t="shared" si="18"/>
        <v>3391.566995492974</v>
      </c>
    </row>
    <row r="597" spans="1:4" x14ac:dyDescent="0.3">
      <c r="A597" s="1">
        <v>592</v>
      </c>
      <c r="B597" s="4">
        <v>3015.860107</v>
      </c>
      <c r="C597" s="6">
        <f t="shared" si="19"/>
        <v>-6.7875054361464029E-3</v>
      </c>
      <c r="D597" s="4">
        <f t="shared" si="18"/>
        <v>3320.3762594974978</v>
      </c>
    </row>
    <row r="598" spans="1:4" x14ac:dyDescent="0.3">
      <c r="A598" s="1">
        <v>593</v>
      </c>
      <c r="B598" s="4">
        <v>2946.9799800000001</v>
      </c>
      <c r="C598" s="6">
        <f t="shared" si="19"/>
        <v>-2.3104155065952404E-2</v>
      </c>
      <c r="D598" s="4">
        <f t="shared" si="18"/>
        <v>3266.6384461944808</v>
      </c>
    </row>
    <row r="599" spans="1:4" x14ac:dyDescent="0.3">
      <c r="A599" s="1">
        <v>594</v>
      </c>
      <c r="B599" s="4">
        <v>2939.23999</v>
      </c>
      <c r="C599" s="6">
        <f t="shared" si="19"/>
        <v>-2.6298692540878792E-3</v>
      </c>
      <c r="D599" s="4">
        <f t="shared" si="18"/>
        <v>3334.209913695342</v>
      </c>
    </row>
    <row r="600" spans="1:4" x14ac:dyDescent="0.3">
      <c r="A600" s="1">
        <v>595</v>
      </c>
      <c r="B600" s="4">
        <v>2992.419922</v>
      </c>
      <c r="C600" s="6">
        <f t="shared" si="19"/>
        <v>1.793135739714077E-2</v>
      </c>
      <c r="D600" s="4">
        <f t="shared" si="18"/>
        <v>3403.4750068580079</v>
      </c>
    </row>
    <row r="601" spans="1:4" x14ac:dyDescent="0.3">
      <c r="A601" s="1">
        <v>596</v>
      </c>
      <c r="B601" s="4">
        <v>2946.6599120000001</v>
      </c>
      <c r="C601" s="6">
        <f t="shared" si="19"/>
        <v>-1.5410102855244195E-2</v>
      </c>
      <c r="D601" s="4">
        <f t="shared" si="18"/>
        <v>3291.8690713589899</v>
      </c>
    </row>
    <row r="602" spans="1:4" x14ac:dyDescent="0.3">
      <c r="A602" s="1">
        <v>597</v>
      </c>
      <c r="B602" s="4">
        <v>2891.8400879999999</v>
      </c>
      <c r="C602" s="6">
        <f t="shared" si="19"/>
        <v>-1.8779287509216674E-2</v>
      </c>
      <c r="D602" s="4">
        <f t="shared" si="18"/>
        <v>3280.7968193055322</v>
      </c>
    </row>
    <row r="603" spans="1:4" x14ac:dyDescent="0.3">
      <c r="A603" s="1">
        <v>598</v>
      </c>
      <c r="B603" s="4">
        <v>2952.48999</v>
      </c>
      <c r="C603" s="6">
        <f t="shared" si="19"/>
        <v>2.075587057456367E-2</v>
      </c>
      <c r="D603" s="4">
        <f t="shared" si="18"/>
        <v>3413.1017559035931</v>
      </c>
    </row>
    <row r="604" spans="1:4" x14ac:dyDescent="0.3">
      <c r="A604" s="1">
        <v>599</v>
      </c>
      <c r="B604" s="4">
        <v>2947.070068</v>
      </c>
      <c r="C604" s="6">
        <f t="shared" si="19"/>
        <v>-1.8373992201236148E-3</v>
      </c>
      <c r="D604" s="4">
        <f t="shared" si="18"/>
        <v>3336.8532223720154</v>
      </c>
    </row>
    <row r="605" spans="1:4" x14ac:dyDescent="0.3">
      <c r="A605" s="1">
        <v>600</v>
      </c>
      <c r="B605" s="4">
        <v>2972.2700199999999</v>
      </c>
      <c r="C605" s="6">
        <f t="shared" si="19"/>
        <v>8.5144978554713042E-3</v>
      </c>
      <c r="D605" s="4">
        <f t="shared" si="18"/>
        <v>3371.5753935841267</v>
      </c>
    </row>
    <row r="606" spans="1:4" x14ac:dyDescent="0.3">
      <c r="A606" s="1">
        <v>601</v>
      </c>
      <c r="B606" s="4">
        <v>2924.4799800000001</v>
      </c>
      <c r="C606" s="6">
        <f t="shared" si="19"/>
        <v>-1.6209297108940215E-2</v>
      </c>
      <c r="D606" s="4">
        <f t="shared" si="18"/>
        <v>3289.2392795104802</v>
      </c>
    </row>
    <row r="607" spans="1:4" x14ac:dyDescent="0.3">
      <c r="A607" s="1">
        <v>602</v>
      </c>
      <c r="B607" s="4">
        <v>2955.459961</v>
      </c>
      <c r="C607" s="6">
        <f t="shared" si="19"/>
        <v>1.0537613642921214E-2</v>
      </c>
      <c r="D607" s="4">
        <f t="shared" si="18"/>
        <v>3378.4033855717453</v>
      </c>
    </row>
    <row r="608" spans="1:4" x14ac:dyDescent="0.3">
      <c r="A608" s="1">
        <v>603</v>
      </c>
      <c r="B608" s="4">
        <v>2970.080078</v>
      </c>
      <c r="C608" s="6">
        <f t="shared" si="19"/>
        <v>4.9346208348960774E-3</v>
      </c>
      <c r="D608" s="4">
        <f t="shared" si="18"/>
        <v>3359.5271467974453</v>
      </c>
    </row>
    <row r="609" spans="1:4" x14ac:dyDescent="0.3">
      <c r="A609" s="1">
        <v>604</v>
      </c>
      <c r="B609" s="4">
        <v>2980.3500979999999</v>
      </c>
      <c r="C609" s="6">
        <f t="shared" si="19"/>
        <v>3.4518614264196675E-3</v>
      </c>
      <c r="D609" s="4">
        <f t="shared" si="18"/>
        <v>3354.5494675748328</v>
      </c>
    </row>
    <row r="610" spans="1:4" x14ac:dyDescent="0.3">
      <c r="A610" s="1">
        <v>605</v>
      </c>
      <c r="B610" s="4">
        <v>2995.48999</v>
      </c>
      <c r="C610" s="6">
        <f t="shared" si="19"/>
        <v>5.0670446899593862E-3</v>
      </c>
      <c r="D610" s="4">
        <f t="shared" si="18"/>
        <v>3359.9720577911785</v>
      </c>
    </row>
    <row r="611" spans="1:4" x14ac:dyDescent="0.3">
      <c r="A611" s="1">
        <v>606</v>
      </c>
      <c r="B611" s="4">
        <v>3002.040039</v>
      </c>
      <c r="C611" s="6">
        <f t="shared" si="19"/>
        <v>2.1842497069590756E-3</v>
      </c>
      <c r="D611" s="4">
        <f t="shared" si="18"/>
        <v>3350.2998953290471</v>
      </c>
    </row>
    <row r="612" spans="1:4" x14ac:dyDescent="0.3">
      <c r="A612" s="1">
        <v>607</v>
      </c>
      <c r="B612" s="4">
        <v>2969.4399410000001</v>
      </c>
      <c r="C612" s="6">
        <f t="shared" si="19"/>
        <v>-1.0918707585241825E-2</v>
      </c>
      <c r="D612" s="4">
        <f t="shared" si="18"/>
        <v>3306.6874091312516</v>
      </c>
    </row>
    <row r="613" spans="1:4" x14ac:dyDescent="0.3">
      <c r="A613" s="1">
        <v>608</v>
      </c>
      <c r="B613" s="4">
        <v>2977.570068</v>
      </c>
      <c r="C613" s="6">
        <f t="shared" si="19"/>
        <v>2.73419148534511E-3</v>
      </c>
      <c r="D613" s="4">
        <f t="shared" si="18"/>
        <v>3352.142871930077</v>
      </c>
    </row>
    <row r="614" spans="1:4" x14ac:dyDescent="0.3">
      <c r="A614" s="1">
        <v>609</v>
      </c>
      <c r="B614" s="4">
        <v>3006.820068</v>
      </c>
      <c r="C614" s="6">
        <f t="shared" si="19"/>
        <v>9.7755100399032242E-3</v>
      </c>
      <c r="D614" s="4">
        <f t="shared" si="18"/>
        <v>3375.8296730215247</v>
      </c>
    </row>
    <row r="615" spans="1:4" x14ac:dyDescent="0.3">
      <c r="A615" s="1">
        <v>610</v>
      </c>
      <c r="B615" s="4">
        <v>2991.8999020000001</v>
      </c>
      <c r="C615" s="6">
        <f t="shared" si="19"/>
        <v>-4.9744601653504781E-3</v>
      </c>
      <c r="D615" s="4">
        <f t="shared" si="18"/>
        <v>3326.4017125310675</v>
      </c>
    </row>
    <row r="616" spans="1:4" x14ac:dyDescent="0.3">
      <c r="A616" s="1">
        <v>611</v>
      </c>
      <c r="B616" s="4">
        <v>3013.01001</v>
      </c>
      <c r="C616" s="6">
        <f t="shared" si="19"/>
        <v>7.0309780741190115E-3</v>
      </c>
      <c r="D616" s="4">
        <f t="shared" si="18"/>
        <v>3366.5773030931427</v>
      </c>
    </row>
    <row r="617" spans="1:4" x14ac:dyDescent="0.3">
      <c r="A617" s="1">
        <v>612</v>
      </c>
      <c r="B617" s="4">
        <v>2999.709961</v>
      </c>
      <c r="C617" s="6">
        <f t="shared" si="19"/>
        <v>-4.4239780851452176E-3</v>
      </c>
      <c r="D617" s="4">
        <f t="shared" si="18"/>
        <v>3328.233341158495</v>
      </c>
    </row>
    <row r="618" spans="1:4" x14ac:dyDescent="0.3">
      <c r="A618" s="1">
        <v>613</v>
      </c>
      <c r="B618" s="4">
        <v>3047.929932</v>
      </c>
      <c r="C618" s="6">
        <f t="shared" si="19"/>
        <v>1.5947045043528209E-2</v>
      </c>
      <c r="D618" s="4">
        <f t="shared" si="18"/>
        <v>3396.728145510659</v>
      </c>
    </row>
    <row r="619" spans="1:4" x14ac:dyDescent="0.3">
      <c r="A619" s="1">
        <v>614</v>
      </c>
      <c r="B619" s="4">
        <v>3037.679932</v>
      </c>
      <c r="C619" s="6">
        <f t="shared" si="19"/>
        <v>-3.3686055865304538E-3</v>
      </c>
      <c r="D619" s="4">
        <f t="shared" si="18"/>
        <v>3331.7477212595845</v>
      </c>
    </row>
    <row r="620" spans="1:4" x14ac:dyDescent="0.3">
      <c r="A620" s="1">
        <v>615</v>
      </c>
      <c r="B620" s="4">
        <v>3040.4799800000001</v>
      </c>
      <c r="C620" s="6">
        <f t="shared" si="19"/>
        <v>9.2134732834108673E-4</v>
      </c>
      <c r="D620" s="4">
        <f t="shared" si="18"/>
        <v>3346.0714642319995</v>
      </c>
    </row>
    <row r="621" spans="1:4" x14ac:dyDescent="0.3">
      <c r="A621" s="1">
        <v>616</v>
      </c>
      <c r="B621" s="4">
        <v>3053.8701169999999</v>
      </c>
      <c r="C621" s="6">
        <f t="shared" si="19"/>
        <v>4.3942859643940407E-3</v>
      </c>
      <c r="D621" s="4">
        <f t="shared" si="18"/>
        <v>3357.7123674700629</v>
      </c>
    </row>
    <row r="622" spans="1:4" x14ac:dyDescent="0.3">
      <c r="A622" s="1">
        <v>617</v>
      </c>
      <c r="B622" s="4">
        <v>3115.9099120000001</v>
      </c>
      <c r="C622" s="6">
        <f t="shared" si="19"/>
        <v>2.0111539088259033E-2</v>
      </c>
      <c r="D622" s="4">
        <f t="shared" si="18"/>
        <v>3410.9032953210499</v>
      </c>
    </row>
    <row r="623" spans="1:4" x14ac:dyDescent="0.3">
      <c r="A623" s="1">
        <v>618</v>
      </c>
      <c r="B623" s="4">
        <v>3096.070068</v>
      </c>
      <c r="C623" s="6">
        <f t="shared" si="19"/>
        <v>-6.3876289113233191E-3</v>
      </c>
      <c r="D623" s="4">
        <f t="shared" si="18"/>
        <v>3321.7042655187715</v>
      </c>
    </row>
    <row r="624" spans="1:4" x14ac:dyDescent="0.3">
      <c r="A624" s="1">
        <v>619</v>
      </c>
      <c r="B624" s="4">
        <v>3067.5</v>
      </c>
      <c r="C624" s="6">
        <f t="shared" si="19"/>
        <v>-9.2706896514019883E-3</v>
      </c>
      <c r="D624" s="4">
        <f t="shared" si="18"/>
        <v>3312.1413821713936</v>
      </c>
    </row>
    <row r="625" spans="1:4" x14ac:dyDescent="0.3">
      <c r="A625" s="1">
        <v>620</v>
      </c>
      <c r="B625" s="4">
        <v>3126.419922</v>
      </c>
      <c r="C625" s="6">
        <f t="shared" si="19"/>
        <v>1.9025657428355731E-2</v>
      </c>
      <c r="D625" s="4">
        <f t="shared" si="18"/>
        <v>3407.20146822578</v>
      </c>
    </row>
    <row r="626" spans="1:4" x14ac:dyDescent="0.3">
      <c r="A626" s="1">
        <v>621</v>
      </c>
      <c r="B626" s="4">
        <v>3072.01001</v>
      </c>
      <c r="C626" s="6">
        <f t="shared" si="19"/>
        <v>-1.7556481287626727E-2</v>
      </c>
      <c r="D626" s="4">
        <f t="shared" si="18"/>
        <v>3284.8110518820445</v>
      </c>
    </row>
    <row r="627" spans="1:4" x14ac:dyDescent="0.3">
      <c r="A627" s="1">
        <v>622</v>
      </c>
      <c r="B627" s="4">
        <v>3060.6599120000001</v>
      </c>
      <c r="C627" s="6">
        <f t="shared" si="19"/>
        <v>-3.7015235137688013E-3</v>
      </c>
      <c r="D627" s="4">
        <f t="shared" si="18"/>
        <v>3330.6387073296942</v>
      </c>
    </row>
    <row r="628" spans="1:4" x14ac:dyDescent="0.3">
      <c r="A628" s="1">
        <v>623</v>
      </c>
      <c r="B628" s="4">
        <v>2982.4499510000001</v>
      </c>
      <c r="C628" s="6">
        <f t="shared" si="19"/>
        <v>-2.5885456269272696E-2</v>
      </c>
      <c r="D628" s="4">
        <f t="shared" si="18"/>
        <v>3257.5655638113221</v>
      </c>
    </row>
    <row r="629" spans="1:4" x14ac:dyDescent="0.3">
      <c r="A629" s="1">
        <v>624</v>
      </c>
      <c r="B629" s="4">
        <v>3033.98999</v>
      </c>
      <c r="C629" s="6">
        <f t="shared" si="19"/>
        <v>1.7133487685396215E-2</v>
      </c>
      <c r="D629" s="4">
        <f t="shared" si="18"/>
        <v>3400.7605602667163</v>
      </c>
    </row>
    <row r="630" spans="1:4" x14ac:dyDescent="0.3">
      <c r="A630" s="1">
        <v>625</v>
      </c>
      <c r="B630" s="4">
        <v>3048.26001</v>
      </c>
      <c r="C630" s="6">
        <f t="shared" si="19"/>
        <v>4.6923576582222331E-3</v>
      </c>
      <c r="D630" s="4">
        <f t="shared" si="18"/>
        <v>3358.7133556585336</v>
      </c>
    </row>
    <row r="631" spans="1:4" x14ac:dyDescent="0.3">
      <c r="A631" s="1">
        <v>626</v>
      </c>
      <c r="B631" s="4">
        <v>3019.820068</v>
      </c>
      <c r="C631" s="6">
        <f t="shared" si="19"/>
        <v>-9.3736898248740225E-3</v>
      </c>
      <c r="D631" s="4">
        <f t="shared" si="18"/>
        <v>3311.800248603176</v>
      </c>
    </row>
    <row r="632" spans="1:4" x14ac:dyDescent="0.3">
      <c r="A632" s="1">
        <v>627</v>
      </c>
      <c r="B632" s="4">
        <v>2984.6999510000001</v>
      </c>
      <c r="C632" s="6">
        <f t="shared" si="19"/>
        <v>-1.1698026615135122E-2</v>
      </c>
      <c r="D632" s="4">
        <f t="shared" si="18"/>
        <v>3304.1114485853172</v>
      </c>
    </row>
    <row r="633" spans="1:4" x14ac:dyDescent="0.3">
      <c r="A633" s="1">
        <v>628</v>
      </c>
      <c r="B633" s="4">
        <v>3079.389893</v>
      </c>
      <c r="C633" s="6">
        <f t="shared" si="19"/>
        <v>3.1232267811185932E-2</v>
      </c>
      <c r="D633" s="4">
        <f t="shared" si="18"/>
        <v>3449.0467238280098</v>
      </c>
    </row>
    <row r="634" spans="1:4" x14ac:dyDescent="0.3">
      <c r="A634" s="1">
        <v>629</v>
      </c>
      <c r="B634" s="4">
        <v>3075.3798830000001</v>
      </c>
      <c r="C634" s="6">
        <f t="shared" si="19"/>
        <v>-1.303057860275984E-3</v>
      </c>
      <c r="D634" s="4">
        <f t="shared" si="18"/>
        <v>3338.6367175156442</v>
      </c>
    </row>
    <row r="635" spans="1:4" x14ac:dyDescent="0.3">
      <c r="A635" s="1">
        <v>630</v>
      </c>
      <c r="B635" s="4">
        <v>3067.929932</v>
      </c>
      <c r="C635" s="6">
        <f t="shared" si="19"/>
        <v>-2.4253879020854469E-3</v>
      </c>
      <c r="D635" s="4">
        <f t="shared" si="18"/>
        <v>3334.8917671571371</v>
      </c>
    </row>
    <row r="636" spans="1:4" x14ac:dyDescent="0.3">
      <c r="A636" s="1">
        <v>631</v>
      </c>
      <c r="B636" s="4">
        <v>3135.3999020000001</v>
      </c>
      <c r="C636" s="6">
        <f t="shared" si="19"/>
        <v>2.175368148326241E-2</v>
      </c>
      <c r="D636" s="4">
        <f t="shared" si="18"/>
        <v>3416.5090857208606</v>
      </c>
    </row>
    <row r="637" spans="1:4" x14ac:dyDescent="0.3">
      <c r="A637" s="1">
        <v>632</v>
      </c>
      <c r="B637" s="4">
        <v>3159.110107</v>
      </c>
      <c r="C637" s="6">
        <f t="shared" si="19"/>
        <v>7.5336498336235277E-3</v>
      </c>
      <c r="D637" s="4">
        <f t="shared" si="18"/>
        <v>3368.2700118323942</v>
      </c>
    </row>
    <row r="638" spans="1:4" x14ac:dyDescent="0.3">
      <c r="A638" s="1">
        <v>633</v>
      </c>
      <c r="B638" s="4">
        <v>3171.419922</v>
      </c>
      <c r="C638" s="6">
        <f t="shared" si="19"/>
        <v>3.8890362919674071E-3</v>
      </c>
      <c r="D638" s="4">
        <f t="shared" si="18"/>
        <v>3356.0163128978843</v>
      </c>
    </row>
    <row r="639" spans="1:4" x14ac:dyDescent="0.3">
      <c r="A639" s="1">
        <v>634</v>
      </c>
      <c r="B639" s="4">
        <v>3181.98999</v>
      </c>
      <c r="C639" s="6">
        <f t="shared" si="19"/>
        <v>3.3273715685040004E-3</v>
      </c>
      <c r="D639" s="4">
        <f t="shared" si="18"/>
        <v>3354.1318861811069</v>
      </c>
    </row>
    <row r="640" spans="1:4" x14ac:dyDescent="0.3">
      <c r="A640" s="1">
        <v>635</v>
      </c>
      <c r="B640" s="4">
        <v>3174.3701169999999</v>
      </c>
      <c r="C640" s="6">
        <f t="shared" si="19"/>
        <v>-2.3975597737810952E-3</v>
      </c>
      <c r="D640" s="4">
        <f t="shared" si="18"/>
        <v>3334.9845722444047</v>
      </c>
    </row>
    <row r="641" spans="1:4" x14ac:dyDescent="0.3">
      <c r="A641" s="1">
        <v>636</v>
      </c>
      <c r="B641" s="4">
        <v>3181.5</v>
      </c>
      <c r="C641" s="6">
        <f t="shared" si="19"/>
        <v>2.2435593740826902E-3</v>
      </c>
      <c r="D641" s="4">
        <f t="shared" si="18"/>
        <v>3350.4986063932888</v>
      </c>
    </row>
    <row r="642" spans="1:4" x14ac:dyDescent="0.3">
      <c r="A642" s="1">
        <v>637</v>
      </c>
      <c r="B642" s="4">
        <v>3149.610107</v>
      </c>
      <c r="C642" s="6">
        <f t="shared" si="19"/>
        <v>-1.0074114069549878E-2</v>
      </c>
      <c r="D642" s="4">
        <f t="shared" si="18"/>
        <v>3309.4813956007633</v>
      </c>
    </row>
    <row r="643" spans="1:4" x14ac:dyDescent="0.3">
      <c r="A643" s="1">
        <v>638</v>
      </c>
      <c r="B643" s="4">
        <v>3130.1000979999999</v>
      </c>
      <c r="C643" s="6">
        <f t="shared" si="19"/>
        <v>-6.2136853887602471E-3</v>
      </c>
      <c r="D643" s="4">
        <f t="shared" si="18"/>
        <v>3322.2821047138641</v>
      </c>
    </row>
    <row r="644" spans="1:4" x14ac:dyDescent="0.3">
      <c r="A644" s="1">
        <v>639</v>
      </c>
      <c r="B644" s="4">
        <v>3152.3100589999999</v>
      </c>
      <c r="C644" s="6">
        <f t="shared" si="19"/>
        <v>7.070551897404174E-3</v>
      </c>
      <c r="D644" s="4">
        <f t="shared" si="18"/>
        <v>3366.7105340646235</v>
      </c>
    </row>
    <row r="645" spans="1:4" x14ac:dyDescent="0.3">
      <c r="A645" s="1">
        <v>640</v>
      </c>
      <c r="B645" s="4">
        <v>3103.830078</v>
      </c>
      <c r="C645" s="6">
        <f t="shared" si="19"/>
        <v>-1.5498678219650584E-2</v>
      </c>
      <c r="D645" s="4">
        <f t="shared" si="18"/>
        <v>3291.5775057693713</v>
      </c>
    </row>
    <row r="646" spans="1:4" x14ac:dyDescent="0.3">
      <c r="A646" s="1">
        <v>641</v>
      </c>
      <c r="B646" s="4">
        <v>3061.080078</v>
      </c>
      <c r="C646" s="6">
        <f t="shared" si="19"/>
        <v>-1.3869037557276824E-2</v>
      </c>
      <c r="D646" s="4">
        <f t="shared" si="18"/>
        <v>3296.945967459762</v>
      </c>
    </row>
    <row r="647" spans="1:4" x14ac:dyDescent="0.3">
      <c r="A647" s="1">
        <v>642</v>
      </c>
      <c r="B647" s="4">
        <v>3064.610107</v>
      </c>
      <c r="C647" s="6">
        <f t="shared" si="19"/>
        <v>1.1525327870477045E-3</v>
      </c>
      <c r="D647" s="4">
        <f t="shared" ref="D647:D673" si="20">$C$2*EXP(C647)</f>
        <v>3346.8451167234803</v>
      </c>
    </row>
    <row r="648" spans="1:4" x14ac:dyDescent="0.3">
      <c r="A648" s="1">
        <v>643</v>
      </c>
      <c r="B648" s="4">
        <v>3037.9799800000001</v>
      </c>
      <c r="C648" s="6">
        <f t="shared" ref="C648:C673" si="21">LN(B648/B647)</f>
        <v>-8.7275388498073703E-3</v>
      </c>
      <c r="D648" s="4">
        <f t="shared" si="20"/>
        <v>3313.9408630686216</v>
      </c>
    </row>
    <row r="649" spans="1:4" x14ac:dyDescent="0.3">
      <c r="A649" s="1">
        <v>644</v>
      </c>
      <c r="B649" s="4">
        <v>3044.8000489999999</v>
      </c>
      <c r="C649" s="6">
        <f t="shared" si="21"/>
        <v>2.2424193626420946E-3</v>
      </c>
      <c r="D649" s="4">
        <f t="shared" si="20"/>
        <v>3350.4947867887231</v>
      </c>
    </row>
    <row r="650" spans="1:4" x14ac:dyDescent="0.3">
      <c r="A650" s="1">
        <v>645</v>
      </c>
      <c r="B650" s="4">
        <v>3040.9799800000001</v>
      </c>
      <c r="C650" s="6">
        <f t="shared" si="21"/>
        <v>-1.2554083399382338E-3</v>
      </c>
      <c r="D650" s="4">
        <f t="shared" si="20"/>
        <v>3338.7958057440246</v>
      </c>
    </row>
    <row r="651" spans="1:4" x14ac:dyDescent="0.3">
      <c r="A651" s="1">
        <v>646</v>
      </c>
      <c r="B651" s="4">
        <v>3025.6298830000001</v>
      </c>
      <c r="C651" s="6">
        <f t="shared" si="21"/>
        <v>-5.0605297208716387E-3</v>
      </c>
      <c r="D651" s="4">
        <f t="shared" si="20"/>
        <v>3326.1154229347712</v>
      </c>
    </row>
    <row r="652" spans="1:4" x14ac:dyDescent="0.3">
      <c r="A652" s="1">
        <v>647</v>
      </c>
      <c r="B652" s="4">
        <v>3015.4099120000001</v>
      </c>
      <c r="C652" s="6">
        <f t="shared" si="21"/>
        <v>-3.3835171085842921E-3</v>
      </c>
      <c r="D652" s="4">
        <f t="shared" si="20"/>
        <v>3331.6980402003724</v>
      </c>
    </row>
    <row r="653" spans="1:4" x14ac:dyDescent="0.3">
      <c r="A653" s="1">
        <v>648</v>
      </c>
      <c r="B653" s="4">
        <v>3004</v>
      </c>
      <c r="C653" s="6">
        <f t="shared" si="21"/>
        <v>-3.7910445814763054E-3</v>
      </c>
      <c r="D653" s="4">
        <f t="shared" si="20"/>
        <v>3330.3405583419731</v>
      </c>
    </row>
    <row r="654" spans="1:4" x14ac:dyDescent="0.3">
      <c r="A654" s="1">
        <v>649</v>
      </c>
      <c r="B654" s="4">
        <v>3053.51001</v>
      </c>
      <c r="C654" s="6">
        <f t="shared" si="21"/>
        <v>1.6347017979128849E-2</v>
      </c>
      <c r="D654" s="4">
        <f t="shared" si="20"/>
        <v>3398.0870165761648</v>
      </c>
    </row>
    <row r="655" spans="1:4" x14ac:dyDescent="0.3">
      <c r="A655" s="1">
        <v>650</v>
      </c>
      <c r="B655" s="4">
        <v>3084.830078</v>
      </c>
      <c r="C655" s="6">
        <f t="shared" si="21"/>
        <v>1.0204823894541519E-2</v>
      </c>
      <c r="D655" s="4">
        <f t="shared" si="20"/>
        <v>3377.2792746158111</v>
      </c>
    </row>
    <row r="656" spans="1:4" x14ac:dyDescent="0.3">
      <c r="A656" s="1">
        <v>651</v>
      </c>
      <c r="B656" s="4">
        <v>3037.7299800000001</v>
      </c>
      <c r="C656" s="6">
        <f t="shared" si="21"/>
        <v>-1.5386056394773496E-2</v>
      </c>
      <c r="D656" s="4">
        <f t="shared" si="20"/>
        <v>3291.9482301102294</v>
      </c>
    </row>
    <row r="657" spans="1:4" x14ac:dyDescent="0.3">
      <c r="A657" s="1">
        <v>652</v>
      </c>
      <c r="B657" s="4">
        <v>2979.040039</v>
      </c>
      <c r="C657" s="6">
        <f t="shared" si="21"/>
        <v>-1.9509405323714649E-2</v>
      </c>
      <c r="D657" s="4">
        <f t="shared" si="20"/>
        <v>3278.402325339729</v>
      </c>
    </row>
    <row r="658" spans="1:4" x14ac:dyDescent="0.3">
      <c r="A658" s="1">
        <v>653</v>
      </c>
      <c r="B658" s="4">
        <v>3137.8999020000001</v>
      </c>
      <c r="C658" s="6">
        <f t="shared" si="21"/>
        <v>5.1952641083429202E-2</v>
      </c>
      <c r="D658" s="4">
        <f t="shared" si="20"/>
        <v>3521.2577960278909</v>
      </c>
    </row>
    <row r="659" spans="1:4" x14ac:dyDescent="0.3">
      <c r="A659" s="1">
        <v>654</v>
      </c>
      <c r="B659" s="4">
        <v>3203.6499020000001</v>
      </c>
      <c r="C659" s="6">
        <f t="shared" si="21"/>
        <v>2.0736999056614903E-2</v>
      </c>
      <c r="D659" s="4">
        <f t="shared" si="20"/>
        <v>3413.0373461003028</v>
      </c>
    </row>
    <row r="660" spans="1:4" x14ac:dyDescent="0.3">
      <c r="A660" s="1">
        <v>655</v>
      </c>
      <c r="B660" s="4">
        <v>3181.419922</v>
      </c>
      <c r="C660" s="6">
        <f t="shared" si="21"/>
        <v>-6.9631407115894293E-3</v>
      </c>
      <c r="D660" s="4">
        <f t="shared" si="20"/>
        <v>3319.7931355086566</v>
      </c>
    </row>
    <row r="661" spans="1:4" x14ac:dyDescent="0.3">
      <c r="A661" s="1">
        <v>656</v>
      </c>
      <c r="B661" s="4">
        <v>3300.780029</v>
      </c>
      <c r="C661" s="6">
        <f t="shared" si="21"/>
        <v>3.6831199479591598E-2</v>
      </c>
      <c r="D661" s="4">
        <f t="shared" si="20"/>
        <v>3468.4118622109108</v>
      </c>
    </row>
    <row r="662" spans="1:4" x14ac:dyDescent="0.3">
      <c r="A662" s="1">
        <v>657</v>
      </c>
      <c r="B662" s="4">
        <v>3386.1899410000001</v>
      </c>
      <c r="C662" s="6">
        <f t="shared" si="21"/>
        <v>2.5546565155967239E-2</v>
      </c>
      <c r="D662" s="4">
        <f t="shared" si="20"/>
        <v>3429.4921132418463</v>
      </c>
    </row>
    <row r="663" spans="1:4" x14ac:dyDescent="0.3">
      <c r="A663" s="1">
        <v>658</v>
      </c>
      <c r="B663" s="4">
        <v>3418.639893</v>
      </c>
      <c r="C663" s="6">
        <f t="shared" si="21"/>
        <v>9.5374017476887157E-3</v>
      </c>
      <c r="D663" s="4">
        <f t="shared" si="20"/>
        <v>3375.0259556729543</v>
      </c>
    </row>
    <row r="664" spans="1:4" x14ac:dyDescent="0.3">
      <c r="A664" s="1">
        <v>659</v>
      </c>
      <c r="B664" s="4">
        <v>3455.6499020000001</v>
      </c>
      <c r="C664" s="6">
        <f t="shared" si="21"/>
        <v>1.0767764437062708E-2</v>
      </c>
      <c r="D664" s="4">
        <f t="shared" si="20"/>
        <v>3379.1810172767096</v>
      </c>
    </row>
    <row r="665" spans="1:4" x14ac:dyDescent="0.3">
      <c r="A665" s="1">
        <v>660</v>
      </c>
      <c r="B665" s="4">
        <v>3506.51001</v>
      </c>
      <c r="C665" s="6">
        <f t="shared" si="21"/>
        <v>1.4610699383335141E-2</v>
      </c>
      <c r="D665" s="4">
        <f t="shared" si="20"/>
        <v>3392.1919742160271</v>
      </c>
    </row>
    <row r="666" spans="1:4" x14ac:dyDescent="0.3">
      <c r="A666" s="1">
        <v>661</v>
      </c>
      <c r="B666" s="4">
        <v>3395.3500979999999</v>
      </c>
      <c r="C666" s="6">
        <f t="shared" si="21"/>
        <v>-3.2214366345698534E-2</v>
      </c>
      <c r="D666" s="4">
        <f t="shared" si="20"/>
        <v>3237.0138279341509</v>
      </c>
    </row>
    <row r="667" spans="1:4" x14ac:dyDescent="0.3">
      <c r="A667" s="1">
        <v>662</v>
      </c>
      <c r="B667" s="4">
        <v>3380.6000979999999</v>
      </c>
      <c r="C667" s="6">
        <f t="shared" si="21"/>
        <v>-4.3536398205953767E-3</v>
      </c>
      <c r="D667" s="4">
        <f t="shared" si="20"/>
        <v>3328.4674515490919</v>
      </c>
    </row>
    <row r="668" spans="1:4" x14ac:dyDescent="0.3">
      <c r="A668" s="1">
        <v>663</v>
      </c>
      <c r="B668" s="4">
        <v>3427.4799800000001</v>
      </c>
      <c r="C668" s="6">
        <f t="shared" si="21"/>
        <v>1.3772053922420291E-2</v>
      </c>
      <c r="D668" s="4">
        <f t="shared" si="20"/>
        <v>3389.348320389654</v>
      </c>
    </row>
    <row r="669" spans="1:4" x14ac:dyDescent="0.3">
      <c r="A669" s="1">
        <v>664</v>
      </c>
      <c r="B669" s="4">
        <v>3362.51001</v>
      </c>
      <c r="C669" s="6">
        <f t="shared" si="21"/>
        <v>-1.9137569570097823E-2</v>
      </c>
      <c r="D669" s="4">
        <f t="shared" si="20"/>
        <v>3279.6215792060734</v>
      </c>
    </row>
    <row r="670" spans="1:4" x14ac:dyDescent="0.3">
      <c r="A670" s="1">
        <v>665</v>
      </c>
      <c r="B670" s="4">
        <v>3365</v>
      </c>
      <c r="C670" s="6">
        <f t="shared" si="21"/>
        <v>7.4024122149182834E-4</v>
      </c>
      <c r="D670" s="4">
        <f t="shared" si="20"/>
        <v>3345.4655251271652</v>
      </c>
    </row>
    <row r="671" spans="1:4" x14ac:dyDescent="0.3">
      <c r="A671" s="1">
        <v>666</v>
      </c>
      <c r="B671" s="4">
        <v>3406.919922</v>
      </c>
      <c r="C671" s="6">
        <f t="shared" si="21"/>
        <v>1.2380671343485744E-2</v>
      </c>
      <c r="D671" s="4">
        <f t="shared" si="20"/>
        <v>3384.6357194584198</v>
      </c>
    </row>
    <row r="672" spans="1:4" x14ac:dyDescent="0.3">
      <c r="A672" s="1">
        <v>667</v>
      </c>
      <c r="B672" s="4">
        <v>3420.429932</v>
      </c>
      <c r="C672" s="6">
        <f t="shared" si="21"/>
        <v>3.9576198444686069E-3</v>
      </c>
      <c r="D672" s="4">
        <f t="shared" si="20"/>
        <v>3356.2464883119087</v>
      </c>
    </row>
    <row r="673" spans="1:4" x14ac:dyDescent="0.3">
      <c r="A673" s="1">
        <v>668</v>
      </c>
      <c r="B673" s="3">
        <v>3342.98999</v>
      </c>
      <c r="C673" s="6">
        <f t="shared" si="21"/>
        <v>-2.290064116764895E-2</v>
      </c>
      <c r="D673" s="4">
        <f t="shared" si="20"/>
        <v>3267.3033201722665</v>
      </c>
    </row>
  </sheetData>
  <mergeCells count="2">
    <mergeCell ref="I3:J3"/>
    <mergeCell ref="I12:J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V674"/>
  <sheetViews>
    <sheetView showGridLines="0" zoomScaleNormal="80" workbookViewId="0"/>
  </sheetViews>
  <sheetFormatPr baseColWidth="10" defaultRowHeight="14.4" x14ac:dyDescent="0.3"/>
  <cols>
    <col min="12" max="12" width="15.6640625" customWidth="1"/>
    <col min="13" max="14" width="13.44140625" bestFit="1" customWidth="1"/>
    <col min="15" max="15" width="14.44140625" bestFit="1" customWidth="1"/>
    <col min="17" max="17" width="20.109375" style="128" bestFit="1" customWidth="1"/>
    <col min="18" max="18" width="15" bestFit="1" customWidth="1"/>
    <col min="19" max="20" width="13.44140625" bestFit="1" customWidth="1"/>
    <col min="21" max="21" width="12.5546875" bestFit="1" customWidth="1"/>
    <col min="22" max="22" width="13.44140625" bestFit="1" customWidth="1"/>
    <col min="23" max="23" width="16.109375" bestFit="1" customWidth="1"/>
    <col min="27" max="27" width="12.6640625" bestFit="1" customWidth="1"/>
  </cols>
  <sheetData>
    <row r="1" spans="1:20" ht="15" thickBot="1" x14ac:dyDescent="0.35"/>
    <row r="2" spans="1:20" ht="15" thickBot="1" x14ac:dyDescent="0.35">
      <c r="A2" s="33" t="s">
        <v>20</v>
      </c>
      <c r="B2" s="40">
        <f>B674</f>
        <v>73900</v>
      </c>
      <c r="C2" s="41">
        <f t="shared" ref="C2:D2" si="0">C674</f>
        <v>315.67211900000001</v>
      </c>
      <c r="D2" s="42">
        <f t="shared" si="0"/>
        <v>356.57000699999998</v>
      </c>
      <c r="E2" s="4"/>
      <c r="F2" s="143" t="s">
        <v>71</v>
      </c>
      <c r="G2" s="144"/>
      <c r="H2" s="144"/>
      <c r="I2" s="145"/>
    </row>
    <row r="3" spans="1:20" ht="15" thickBot="1" x14ac:dyDescent="0.35">
      <c r="F3" s="25"/>
      <c r="G3" s="25"/>
      <c r="H3" s="25"/>
      <c r="I3" s="25"/>
      <c r="L3" s="149" t="s">
        <v>8</v>
      </c>
      <c r="M3" s="149"/>
      <c r="N3" s="149"/>
      <c r="O3" s="149"/>
    </row>
    <row r="4" spans="1:20" ht="16.2" thickBot="1" x14ac:dyDescent="0.4">
      <c r="B4" s="139" t="s">
        <v>17</v>
      </c>
      <c r="C4" s="141"/>
      <c r="D4" s="141"/>
      <c r="E4" s="140"/>
      <c r="F4" s="139" t="s">
        <v>18</v>
      </c>
      <c r="G4" s="141"/>
      <c r="H4" s="141"/>
      <c r="I4" s="140"/>
      <c r="L4" s="43" t="s">
        <v>21</v>
      </c>
      <c r="M4" s="43" t="s">
        <v>22</v>
      </c>
      <c r="N4" s="43" t="s">
        <v>23</v>
      </c>
      <c r="O4" s="43" t="s">
        <v>62</v>
      </c>
    </row>
    <row r="5" spans="1:20" ht="16.2" thickTop="1" x14ac:dyDescent="0.35">
      <c r="B5" s="30" t="s">
        <v>21</v>
      </c>
      <c r="C5" s="31" t="s">
        <v>22</v>
      </c>
      <c r="D5" s="31" t="s">
        <v>23</v>
      </c>
      <c r="E5" s="32" t="s">
        <v>60</v>
      </c>
      <c r="F5" s="30" t="s">
        <v>24</v>
      </c>
      <c r="G5" s="31" t="s">
        <v>25</v>
      </c>
      <c r="H5" s="31" t="s">
        <v>26</v>
      </c>
      <c r="I5" s="32" t="s">
        <v>61</v>
      </c>
      <c r="K5" s="31" t="s">
        <v>34</v>
      </c>
      <c r="L5" s="6">
        <f>AVERAGE(F7:F674)</f>
        <v>1.737278574882397E-3</v>
      </c>
      <c r="M5" s="76">
        <f>AVERAGE(G7:G674)</f>
        <v>9.921045473600381E-4</v>
      </c>
      <c r="N5" s="6">
        <f>AVERAGE(H7:H674)</f>
        <v>6.8985214421221652E-4</v>
      </c>
      <c r="O5" s="6">
        <f>AVERAGE(I7:I674)</f>
        <v>-4.1997722267962168E-4</v>
      </c>
      <c r="P5" s="6"/>
    </row>
    <row r="6" spans="1:20" ht="17.399999999999999" thickBot="1" x14ac:dyDescent="0.4">
      <c r="A6" s="1">
        <v>0</v>
      </c>
      <c r="B6" s="27">
        <v>23155</v>
      </c>
      <c r="C6" s="4">
        <v>162.71142599999999</v>
      </c>
      <c r="D6" s="4">
        <v>224.91203300000001</v>
      </c>
      <c r="E6">
        <v>50033.949219000002</v>
      </c>
      <c r="F6" s="15"/>
      <c r="I6" s="16"/>
      <c r="K6" s="31" t="s">
        <v>35</v>
      </c>
      <c r="L6" s="6">
        <f>_xlfn.VAR.S(F7:F674)</f>
        <v>4.0424755435468601E-4</v>
      </c>
      <c r="M6" s="6">
        <f>_xlfn.VAR.S(G7:G674)</f>
        <v>5.6783849219589904E-4</v>
      </c>
      <c r="N6" s="6">
        <f>_xlfn.VAR.S(H7:H674)</f>
        <v>2.0954186674030129E-4</v>
      </c>
      <c r="O6" s="6">
        <f>_xlfn.VAR.S(I7:I674)</f>
        <v>1.3924268552189848E-4</v>
      </c>
    </row>
    <row r="7" spans="1:20" ht="16.2" thickBot="1" x14ac:dyDescent="0.4">
      <c r="A7" s="1">
        <v>1</v>
      </c>
      <c r="B7" s="27">
        <v>23300</v>
      </c>
      <c r="C7" s="4">
        <v>163.22018399999999</v>
      </c>
      <c r="D7" s="4">
        <v>219.94735700000001</v>
      </c>
      <c r="E7">
        <v>49782.230469000002</v>
      </c>
      <c r="F7" s="34">
        <f>LN(B7/B6)</f>
        <v>6.2426206389395375E-3</v>
      </c>
      <c r="G7" s="35">
        <f>LN(C7/C6)</f>
        <v>3.1218721817124796E-3</v>
      </c>
      <c r="H7" s="35">
        <f>LN(D7/D6)</f>
        <v>-2.2321129958275992E-2</v>
      </c>
      <c r="I7" s="36">
        <f>LN(E7/E6)</f>
        <v>-5.0436569381507208E-3</v>
      </c>
      <c r="K7" s="52" t="s">
        <v>36</v>
      </c>
      <c r="L7" s="44">
        <f>_xlfn.STDEV.S(F7:F674)</f>
        <v>2.0105908443904891E-2</v>
      </c>
      <c r="M7" s="44">
        <f>_xlfn.STDEV.S(G7:G674)</f>
        <v>2.3829361976265732E-2</v>
      </c>
      <c r="N7" s="44">
        <f>_xlfn.STDEV.S(H7:H674)</f>
        <v>1.4475561016427007E-2</v>
      </c>
      <c r="O7" s="44">
        <f>_xlfn.STDEV.S(I7:I674)</f>
        <v>1.1800113792752105E-2</v>
      </c>
      <c r="P7" s="146" t="s">
        <v>72</v>
      </c>
      <c r="Q7" s="147"/>
      <c r="R7" s="148"/>
    </row>
    <row r="8" spans="1:20" ht="15" thickTop="1" x14ac:dyDescent="0.3">
      <c r="A8" s="1">
        <v>2</v>
      </c>
      <c r="B8" s="27">
        <v>23416.800781000002</v>
      </c>
      <c r="C8" s="4">
        <v>159.73284899999999</v>
      </c>
      <c r="D8" s="4">
        <v>218.94686899999999</v>
      </c>
      <c r="E8">
        <v>49744.621094000002</v>
      </c>
      <c r="F8" s="34">
        <f t="shared" ref="F8:F71" si="1">LN(B8/B7)</f>
        <v>5.0003862601807414E-3</v>
      </c>
      <c r="G8" s="35">
        <f t="shared" ref="G8:G71" si="2">LN(C8/C7)</f>
        <v>-2.1597385361652573E-2</v>
      </c>
      <c r="H8" s="35">
        <f t="shared" ref="H8:H71" si="3">LN(D8/D7)</f>
        <v>-4.5591382785239096E-3</v>
      </c>
      <c r="I8" s="36">
        <f t="shared" ref="I8:I71" si="4">LN(E8/E7)</f>
        <v>-7.557634186053018E-4</v>
      </c>
    </row>
    <row r="9" spans="1:20" x14ac:dyDescent="0.3">
      <c r="A9" s="1">
        <v>3</v>
      </c>
      <c r="B9" s="27">
        <v>23537.099609000001</v>
      </c>
      <c r="C9" s="4">
        <v>159.97337300000001</v>
      </c>
      <c r="D9" s="4">
        <v>217.757599</v>
      </c>
      <c r="E9">
        <v>49887.738280999998</v>
      </c>
      <c r="F9" s="34">
        <f t="shared" si="1"/>
        <v>5.1241362367026155E-3</v>
      </c>
      <c r="G9" s="35">
        <f t="shared" si="2"/>
        <v>1.5046566430521574E-3</v>
      </c>
      <c r="H9" s="35">
        <f t="shared" si="3"/>
        <v>-5.4465801343548358E-3</v>
      </c>
      <c r="I9" s="36">
        <f t="shared" si="4"/>
        <v>2.8729076844862702E-3</v>
      </c>
      <c r="L9" s="142" t="s">
        <v>9</v>
      </c>
      <c r="M9" s="142"/>
      <c r="N9" s="142"/>
      <c r="O9" s="142"/>
    </row>
    <row r="10" spans="1:20" ht="16.2" thickBot="1" x14ac:dyDescent="0.4">
      <c r="A10" s="1">
        <v>4</v>
      </c>
      <c r="B10" s="27">
        <v>23895.599609000001</v>
      </c>
      <c r="C10" s="4">
        <v>159.46459999999999</v>
      </c>
      <c r="D10" s="4">
        <v>216.86093099999999</v>
      </c>
      <c r="E10">
        <v>49995.570312999997</v>
      </c>
      <c r="F10" s="34">
        <f t="shared" si="1"/>
        <v>1.5116442139109398E-2</v>
      </c>
      <c r="G10" s="35">
        <f t="shared" si="2"/>
        <v>-3.1854286165785288E-3</v>
      </c>
      <c r="H10" s="35">
        <f t="shared" si="3"/>
        <v>-4.1262358151585637E-3</v>
      </c>
      <c r="I10" s="36">
        <f t="shared" si="4"/>
        <v>2.1591610332179325E-3</v>
      </c>
      <c r="L10" s="43" t="s">
        <v>21</v>
      </c>
      <c r="M10" s="43" t="s">
        <v>22</v>
      </c>
      <c r="N10" s="43" t="s">
        <v>23</v>
      </c>
      <c r="O10" s="43" t="s">
        <v>62</v>
      </c>
    </row>
    <row r="11" spans="1:20" ht="16.2" thickTop="1" x14ac:dyDescent="0.35">
      <c r="A11" s="1">
        <v>5</v>
      </c>
      <c r="B11" s="27">
        <v>24150</v>
      </c>
      <c r="C11" s="4">
        <v>159.362854</v>
      </c>
      <c r="D11" s="4">
        <v>215.03930700000001</v>
      </c>
      <c r="E11">
        <v>49701.371094000002</v>
      </c>
      <c r="F11" s="34">
        <f t="shared" si="1"/>
        <v>1.0590054890934199E-2</v>
      </c>
      <c r="G11" s="35">
        <f t="shared" si="2"/>
        <v>-6.3825120564413892E-4</v>
      </c>
      <c r="H11" s="35">
        <f t="shared" si="3"/>
        <v>-8.4354424537962259E-3</v>
      </c>
      <c r="I11" s="36">
        <f t="shared" si="4"/>
        <v>-5.9018876370045843E-3</v>
      </c>
      <c r="K11" s="31" t="s">
        <v>34</v>
      </c>
      <c r="L11" s="50">
        <f>L5*252</f>
        <v>0.43779420087036403</v>
      </c>
      <c r="M11" s="50">
        <f t="shared" ref="M11:N11" si="5">M5*252</f>
        <v>0.25001034593472959</v>
      </c>
      <c r="N11" s="50">
        <f t="shared" si="5"/>
        <v>0.17384274034147856</v>
      </c>
      <c r="O11" s="5">
        <f>O5*252</f>
        <v>-0.10583426011526466</v>
      </c>
      <c r="P11" t="s">
        <v>73</v>
      </c>
    </row>
    <row r="12" spans="1:20" ht="17.399999999999999" thickBot="1" x14ac:dyDescent="0.4">
      <c r="A12" s="1">
        <v>6</v>
      </c>
      <c r="B12" s="27">
        <v>24190</v>
      </c>
      <c r="C12" s="4">
        <v>151.13942</v>
      </c>
      <c r="D12" s="4">
        <v>218.79585299999999</v>
      </c>
      <c r="E12">
        <v>48785.25</v>
      </c>
      <c r="F12" s="34">
        <f t="shared" si="1"/>
        <v>1.6549445233542252E-3</v>
      </c>
      <c r="G12" s="35">
        <f t="shared" si="2"/>
        <v>-5.2980980728911047E-2</v>
      </c>
      <c r="H12" s="35">
        <f t="shared" si="3"/>
        <v>1.7318282312782346E-2</v>
      </c>
      <c r="I12" s="36">
        <f t="shared" si="4"/>
        <v>-1.8604507053719813E-2</v>
      </c>
      <c r="K12" s="31" t="s">
        <v>35</v>
      </c>
      <c r="L12" s="92">
        <f>L6*252</f>
        <v>0.10187038369738087</v>
      </c>
      <c r="M12" s="92">
        <f t="shared" ref="M12:N12" si="6">M6*252</f>
        <v>0.14309530003336657</v>
      </c>
      <c r="N12" s="92">
        <f t="shared" si="6"/>
        <v>5.2804550418555925E-2</v>
      </c>
      <c r="O12" s="5">
        <f>O6*252</f>
        <v>3.5089156751518413E-2</v>
      </c>
    </row>
    <row r="13" spans="1:20" ht="16.2" thickBot="1" x14ac:dyDescent="0.4">
      <c r="A13" s="1">
        <v>7</v>
      </c>
      <c r="B13" s="27">
        <v>24530</v>
      </c>
      <c r="C13" s="4">
        <v>149.42811599999999</v>
      </c>
      <c r="D13" s="4">
        <v>213.982193</v>
      </c>
      <c r="E13">
        <v>48799.390625</v>
      </c>
      <c r="F13" s="34">
        <f t="shared" si="1"/>
        <v>1.3957533648462075E-2</v>
      </c>
      <c r="G13" s="35">
        <f t="shared" si="2"/>
        <v>-1.138727431979342E-2</v>
      </c>
      <c r="H13" s="35">
        <f t="shared" si="3"/>
        <v>-2.2246315706814235E-2</v>
      </c>
      <c r="I13" s="36">
        <f t="shared" si="4"/>
        <v>2.8981251574843449E-4</v>
      </c>
      <c r="K13" s="52" t="s">
        <v>36</v>
      </c>
      <c r="L13" s="61">
        <f>L7*SQRT(252)</f>
        <v>0.31917140175363595</v>
      </c>
      <c r="M13" s="61">
        <f>M7*SQRT(252)</f>
        <v>0.37827939414322659</v>
      </c>
      <c r="N13" s="61">
        <f t="shared" ref="N13" si="7">N7*SQRT(252)</f>
        <v>0.2297924072256434</v>
      </c>
      <c r="O13" s="5">
        <f>O7*SQRT(252)</f>
        <v>0.18732099922731144</v>
      </c>
      <c r="P13" s="146" t="s">
        <v>72</v>
      </c>
      <c r="Q13" s="147"/>
      <c r="R13" s="148"/>
    </row>
    <row r="14" spans="1:20" ht="16.2" thickBot="1" x14ac:dyDescent="0.4">
      <c r="A14" s="1">
        <v>8</v>
      </c>
      <c r="B14" s="27">
        <v>24840</v>
      </c>
      <c r="C14" s="4">
        <v>148.900848</v>
      </c>
      <c r="D14" s="4">
        <v>212.64189099999999</v>
      </c>
      <c r="E14">
        <v>49135.910155999998</v>
      </c>
      <c r="F14" s="34">
        <f t="shared" si="1"/>
        <v>1.2558398794879978E-2</v>
      </c>
      <c r="G14" s="35">
        <f t="shared" si="2"/>
        <v>-3.5348129926359405E-3</v>
      </c>
      <c r="H14" s="35">
        <f t="shared" si="3"/>
        <v>-6.2833133892821183E-3</v>
      </c>
      <c r="I14" s="36">
        <f t="shared" si="4"/>
        <v>6.8723096322155786E-3</v>
      </c>
      <c r="K14" s="1" t="s">
        <v>45</v>
      </c>
      <c r="L14" s="63">
        <f>L11/L13</f>
        <v>1.3716586087129805</v>
      </c>
      <c r="M14" s="63">
        <f t="shared" ref="M14:O14" si="8">M11/M13</f>
        <v>0.66091452456981847</v>
      </c>
      <c r="N14" s="63">
        <f t="shared" si="8"/>
        <v>0.75652081998851528</v>
      </c>
      <c r="O14" s="63">
        <f t="shared" si="8"/>
        <v>-0.56498876555124633</v>
      </c>
    </row>
    <row r="15" spans="1:20" ht="15" thickTop="1" x14ac:dyDescent="0.3">
      <c r="A15" s="1">
        <v>9</v>
      </c>
      <c r="B15" s="27">
        <v>24696.099609000001</v>
      </c>
      <c r="C15" s="4">
        <v>147.20806899999999</v>
      </c>
      <c r="D15" s="4">
        <v>210.782501</v>
      </c>
      <c r="E15">
        <v>49387.28125</v>
      </c>
      <c r="F15" s="34">
        <f t="shared" si="1"/>
        <v>-5.809936467334343E-3</v>
      </c>
      <c r="G15" s="35">
        <f t="shared" si="2"/>
        <v>-1.1433613402637859E-2</v>
      </c>
      <c r="H15" s="35">
        <f t="shared" si="3"/>
        <v>-8.7826870025011616E-3</v>
      </c>
      <c r="I15" s="36">
        <f t="shared" si="4"/>
        <v>5.1027912485560141E-3</v>
      </c>
    </row>
    <row r="16" spans="1:20" x14ac:dyDescent="0.3">
      <c r="A16" s="1">
        <v>10</v>
      </c>
      <c r="B16" s="27">
        <v>24547.300781000002</v>
      </c>
      <c r="C16" s="4">
        <v>145.274765</v>
      </c>
      <c r="D16" s="4">
        <v>213.00056499999999</v>
      </c>
      <c r="E16">
        <v>49491.71875</v>
      </c>
      <c r="F16" s="34">
        <f t="shared" si="1"/>
        <v>-6.0434202228926721E-3</v>
      </c>
      <c r="G16" s="35">
        <f t="shared" si="2"/>
        <v>-1.3220141030380049E-2</v>
      </c>
      <c r="H16" s="35">
        <f t="shared" si="3"/>
        <v>1.0468017400539728E-2</v>
      </c>
      <c r="I16" s="36">
        <f t="shared" si="4"/>
        <v>2.1124311296943049E-3</v>
      </c>
      <c r="K16" s="150" t="s">
        <v>27</v>
      </c>
      <c r="L16" s="150"/>
      <c r="M16" s="150"/>
      <c r="N16" s="150"/>
      <c r="Q16" s="149" t="s">
        <v>75</v>
      </c>
      <c r="R16" s="149"/>
      <c r="S16" s="149"/>
      <c r="T16" s="149"/>
    </row>
    <row r="17" spans="1:20" ht="16.2" thickBot="1" x14ac:dyDescent="0.4">
      <c r="A17" s="1">
        <v>11</v>
      </c>
      <c r="B17" s="27">
        <v>24291.800781000002</v>
      </c>
      <c r="C17" s="4">
        <v>146.64378400000001</v>
      </c>
      <c r="D17" s="4">
        <v>214.671188</v>
      </c>
      <c r="E17">
        <v>49732.300780999998</v>
      </c>
      <c r="F17" s="34">
        <f t="shared" si="1"/>
        <v>-1.0463023386029592E-2</v>
      </c>
      <c r="G17" s="35">
        <f t="shared" si="2"/>
        <v>9.379527552167307E-3</v>
      </c>
      <c r="H17" s="35">
        <f t="shared" si="3"/>
        <v>7.8126810381752929E-3</v>
      </c>
      <c r="I17" s="36">
        <f t="shared" si="4"/>
        <v>4.8492795109041651E-3</v>
      </c>
      <c r="L17" s="31" t="s">
        <v>21</v>
      </c>
      <c r="M17" s="31" t="s">
        <v>22</v>
      </c>
      <c r="N17" s="31" t="s">
        <v>23</v>
      </c>
      <c r="R17" s="31" t="s">
        <v>21</v>
      </c>
      <c r="S17" s="31" t="s">
        <v>22</v>
      </c>
      <c r="T17" s="31" t="s">
        <v>23</v>
      </c>
    </row>
    <row r="18" spans="1:20" ht="15.6" x14ac:dyDescent="0.35">
      <c r="A18" s="1">
        <v>12</v>
      </c>
      <c r="B18" s="27">
        <v>24100</v>
      </c>
      <c r="C18" s="4">
        <v>143.54496800000001</v>
      </c>
      <c r="D18" s="4">
        <v>214.189819</v>
      </c>
      <c r="E18">
        <v>49911.96875</v>
      </c>
      <c r="F18" s="34">
        <f t="shared" si="1"/>
        <v>-7.9270364924120644E-3</v>
      </c>
      <c r="G18" s="35">
        <f t="shared" si="2"/>
        <v>-2.1358055925766249E-2</v>
      </c>
      <c r="H18" s="35">
        <f t="shared" si="3"/>
        <v>-2.2448727876678513E-3</v>
      </c>
      <c r="I18" s="36">
        <f t="shared" si="4"/>
        <v>3.6061915964671521E-3</v>
      </c>
      <c r="K18" s="31" t="s">
        <v>21</v>
      </c>
      <c r="L18" s="93">
        <f>_xlfn.COVARIANCE.S($F$7:$F$674,F7:F674)*252</f>
        <v>0.10187038369738079</v>
      </c>
      <c r="M18" s="46">
        <f>_xlfn.COVARIANCE.S($F$7:$F$674,G7:G674)*252</f>
        <v>6.1657622657740833E-3</v>
      </c>
      <c r="N18" s="47">
        <f>_xlfn.COVARIANCE.S($F$7:$F$674,H7:H674)*252</f>
        <v>8.6862336435343361E-4</v>
      </c>
      <c r="Q18" s="129" t="s">
        <v>21</v>
      </c>
      <c r="R18" s="45">
        <f t="array" ref="R18:T20">MINVERSE(L18:N20)</f>
        <v>9.8424036780420927</v>
      </c>
      <c r="S18" s="46">
        <v>-0.41831340001495526</v>
      </c>
      <c r="T18" s="47">
        <v>-8.0838499701542874E-2</v>
      </c>
    </row>
    <row r="19" spans="1:20" ht="16.8" x14ac:dyDescent="0.35">
      <c r="A19" s="1">
        <v>13</v>
      </c>
      <c r="B19" s="27">
        <v>24081.199218999998</v>
      </c>
      <c r="C19" s="4">
        <v>144.52551299999999</v>
      </c>
      <c r="D19" s="4">
        <v>218.17289700000001</v>
      </c>
      <c r="E19">
        <v>49695.558594000002</v>
      </c>
      <c r="F19" s="34">
        <f t="shared" si="1"/>
        <v>-7.8041984255197662E-4</v>
      </c>
      <c r="G19" s="35">
        <f t="shared" si="2"/>
        <v>6.8077005566297196E-3</v>
      </c>
      <c r="H19" s="35">
        <f t="shared" si="3"/>
        <v>1.8425227413124603E-2</v>
      </c>
      <c r="I19" s="36">
        <f t="shared" si="4"/>
        <v>-4.3452639028291884E-3</v>
      </c>
      <c r="J19" s="53" t="s">
        <v>37</v>
      </c>
      <c r="K19" s="31" t="s">
        <v>22</v>
      </c>
      <c r="L19" s="34">
        <f>M18</f>
        <v>6.1657622657740833E-3</v>
      </c>
      <c r="M19" s="94">
        <f>_xlfn.COVARIANCE.S($G$7:$G$674,G7:G674)*252</f>
        <v>0.14309530003336629</v>
      </c>
      <c r="N19" s="36">
        <f>_xlfn.COVARIANCE.S($H$7:$H$674,G7:G674)*252</f>
        <v>1.0233239391188396E-2</v>
      </c>
      <c r="P19" s="53" t="s">
        <v>38</v>
      </c>
      <c r="Q19" s="129" t="s">
        <v>22</v>
      </c>
      <c r="R19" s="34">
        <v>-0.41831340001495526</v>
      </c>
      <c r="S19" s="35">
        <v>7.1043406481018874</v>
      </c>
      <c r="T19" s="36">
        <v>-1.3699020482576088</v>
      </c>
    </row>
    <row r="20" spans="1:20" ht="16.2" thickBot="1" x14ac:dyDescent="0.4">
      <c r="A20" s="1">
        <v>14</v>
      </c>
      <c r="B20" s="27">
        <v>24736.300781000002</v>
      </c>
      <c r="C20" s="4">
        <v>144.71051</v>
      </c>
      <c r="D20" s="4">
        <v>220.27771000000001</v>
      </c>
      <c r="E20">
        <v>49974.480469000002</v>
      </c>
      <c r="F20" s="34">
        <f t="shared" si="1"/>
        <v>2.684041132288649E-2</v>
      </c>
      <c r="G20" s="35">
        <f t="shared" si="2"/>
        <v>1.2792115125103466E-3</v>
      </c>
      <c r="H20" s="35">
        <f t="shared" si="3"/>
        <v>9.6012145287299247E-3</v>
      </c>
      <c r="I20" s="36">
        <f t="shared" si="4"/>
        <v>5.5969197109973457E-3</v>
      </c>
      <c r="K20" s="31" t="s">
        <v>23</v>
      </c>
      <c r="L20" s="37">
        <f>N18</f>
        <v>8.6862336435343361E-4</v>
      </c>
      <c r="M20" s="38">
        <f>N19</f>
        <v>1.0233239391188396E-2</v>
      </c>
      <c r="N20" s="95">
        <f>_xlfn.COVARIANCE.S($H$7:$H$674,H7:H674)*252</f>
        <v>5.280455041855598E-2</v>
      </c>
      <c r="Q20" s="129" t="s">
        <v>23</v>
      </c>
      <c r="R20" s="37">
        <v>-8.0838499701542887E-2</v>
      </c>
      <c r="S20" s="38">
        <v>-1.3699020482576088</v>
      </c>
      <c r="T20" s="39">
        <v>19.204571306330447</v>
      </c>
    </row>
    <row r="21" spans="1:20" x14ac:dyDescent="0.3">
      <c r="A21" s="1">
        <v>15</v>
      </c>
      <c r="B21" s="27">
        <v>25527.800781000002</v>
      </c>
      <c r="C21" s="4">
        <v>144.90473900000001</v>
      </c>
      <c r="D21" s="4">
        <v>224.619461</v>
      </c>
      <c r="E21">
        <v>50260.25</v>
      </c>
      <c r="F21" s="34">
        <f t="shared" si="1"/>
        <v>3.1496253027776804E-2</v>
      </c>
      <c r="G21" s="35">
        <f t="shared" si="2"/>
        <v>1.3412900721891281E-3</v>
      </c>
      <c r="H21" s="35">
        <f t="shared" si="3"/>
        <v>1.9518617443355132E-2</v>
      </c>
      <c r="I21" s="36">
        <f t="shared" si="4"/>
        <v>5.7020217230578018E-3</v>
      </c>
    </row>
    <row r="22" spans="1:20" x14ac:dyDescent="0.3">
      <c r="A22" s="1">
        <v>16</v>
      </c>
      <c r="B22" s="27">
        <v>25108.599609000001</v>
      </c>
      <c r="C22" s="4">
        <v>149.511368</v>
      </c>
      <c r="D22" s="4">
        <v>227.19619800000001</v>
      </c>
      <c r="E22">
        <v>50746.929687999997</v>
      </c>
      <c r="F22" s="34">
        <f t="shared" si="1"/>
        <v>-1.65576836413413E-2</v>
      </c>
      <c r="G22" s="35">
        <f t="shared" si="2"/>
        <v>3.12958759677767E-2</v>
      </c>
      <c r="H22" s="35">
        <f t="shared" si="3"/>
        <v>1.1406266628265504E-2</v>
      </c>
      <c r="I22" s="36">
        <f t="shared" si="4"/>
        <v>9.6366110955763921E-3</v>
      </c>
    </row>
    <row r="23" spans="1:20" ht="15" thickBot="1" x14ac:dyDescent="0.35">
      <c r="A23" s="1">
        <v>17</v>
      </c>
      <c r="B23" s="27">
        <v>25594</v>
      </c>
      <c r="C23" s="4">
        <v>150.72316000000001</v>
      </c>
      <c r="D23" s="4">
        <v>223.93043499999999</v>
      </c>
      <c r="E23">
        <v>50777.898437999997</v>
      </c>
      <c r="F23" s="34">
        <f t="shared" si="1"/>
        <v>1.9147547652024734E-2</v>
      </c>
      <c r="G23" s="35">
        <f t="shared" si="2"/>
        <v>8.0723465643767513E-3</v>
      </c>
      <c r="H23" s="35">
        <f t="shared" si="3"/>
        <v>-1.4478506965856881E-2</v>
      </c>
      <c r="I23" s="36">
        <f t="shared" si="4"/>
        <v>6.1007246270996704E-4</v>
      </c>
      <c r="K23" s="31" t="s">
        <v>28</v>
      </c>
    </row>
    <row r="24" spans="1:20" ht="15.6" x14ac:dyDescent="0.35">
      <c r="A24" s="1">
        <v>18</v>
      </c>
      <c r="B24" s="27">
        <v>25968.5</v>
      </c>
      <c r="C24" s="4">
        <v>151.58341999999999</v>
      </c>
      <c r="D24" s="4">
        <v>226.11076399999999</v>
      </c>
      <c r="E24">
        <v>51065.488280999998</v>
      </c>
      <c r="F24" s="34">
        <f t="shared" si="1"/>
        <v>1.4526316038502749E-2</v>
      </c>
      <c r="G24" s="35">
        <f t="shared" si="2"/>
        <v>5.6913238346812944E-3</v>
      </c>
      <c r="H24" s="35">
        <f t="shared" si="3"/>
        <v>9.6895398179700967E-3</v>
      </c>
      <c r="I24" s="36">
        <f t="shared" si="4"/>
        <v>5.6477031389402131E-3</v>
      </c>
      <c r="L24" s="31" t="s">
        <v>21</v>
      </c>
      <c r="M24" s="31" t="s">
        <v>22</v>
      </c>
      <c r="N24" s="31" t="s">
        <v>23</v>
      </c>
      <c r="O24" s="31" t="s">
        <v>19</v>
      </c>
      <c r="Q24" s="137" t="s">
        <v>74</v>
      </c>
      <c r="R24" s="138"/>
    </row>
    <row r="25" spans="1:20" ht="15.6" x14ac:dyDescent="0.35">
      <c r="A25" s="1">
        <v>19</v>
      </c>
      <c r="B25" s="27">
        <v>26383.5</v>
      </c>
      <c r="C25" s="4">
        <v>159.09458900000001</v>
      </c>
      <c r="D25" s="4">
        <v>234.02972399999999</v>
      </c>
      <c r="E25">
        <v>50636.320312999997</v>
      </c>
      <c r="F25" s="34">
        <f t="shared" si="1"/>
        <v>1.5854549704445199E-2</v>
      </c>
      <c r="G25" s="35">
        <f t="shared" si="2"/>
        <v>4.8362824236143694E-2</v>
      </c>
      <c r="H25" s="35">
        <f t="shared" si="3"/>
        <v>3.4423147527491052E-2</v>
      </c>
      <c r="I25" s="36">
        <f t="shared" si="4"/>
        <v>-8.4397813843519499E-3</v>
      </c>
      <c r="K25" s="31" t="s">
        <v>29</v>
      </c>
      <c r="L25" s="48">
        <v>120</v>
      </c>
      <c r="M25" s="48">
        <v>10000</v>
      </c>
      <c r="N25" s="48">
        <v>7000</v>
      </c>
      <c r="Q25" s="130" t="s">
        <v>32</v>
      </c>
      <c r="R25" s="96" t="s">
        <v>33</v>
      </c>
    </row>
    <row r="26" spans="1:20" ht="15" thickBot="1" x14ac:dyDescent="0.35">
      <c r="A26" s="1">
        <v>20</v>
      </c>
      <c r="B26" s="27">
        <v>26945.800781000002</v>
      </c>
      <c r="C26" s="4">
        <v>161.952911</v>
      </c>
      <c r="D26" s="4">
        <v>230.78285199999999</v>
      </c>
      <c r="E26">
        <v>50382.859375</v>
      </c>
      <c r="F26" s="34">
        <f t="shared" si="1"/>
        <v>2.1088655279956056E-2</v>
      </c>
      <c r="G26" s="35">
        <f t="shared" si="2"/>
        <v>1.7806695430522036E-2</v>
      </c>
      <c r="H26" s="35">
        <f t="shared" si="3"/>
        <v>-1.3970899151536514E-2</v>
      </c>
      <c r="I26" s="36">
        <f t="shared" si="4"/>
        <v>-5.0180860833204007E-3</v>
      </c>
      <c r="K26" s="31" t="s">
        <v>30</v>
      </c>
      <c r="L26" s="7">
        <f>L25*B2</f>
        <v>8868000</v>
      </c>
      <c r="M26" s="7">
        <f>M25*C2</f>
        <v>3156721.19</v>
      </c>
      <c r="N26" s="7">
        <f>N25*D2</f>
        <v>2495990.0489999996</v>
      </c>
      <c r="O26" s="7">
        <f>SUM(L26:N26)</f>
        <v>14520711.239</v>
      </c>
      <c r="Q26" s="131">
        <f t="array" ref="Q26">MMULT(L27:N27,TRANSPOSE(L11:N11))</f>
        <v>0.3515999730316654</v>
      </c>
      <c r="R26" s="97">
        <f t="array" ref="R26">SQRT(MMULT(L27:N27,MMULT(L18:N20,TRANSPOSE(L27:N27))))</f>
        <v>0.22113808031361751</v>
      </c>
    </row>
    <row r="27" spans="1:20" ht="15.6" x14ac:dyDescent="0.35">
      <c r="A27" s="1">
        <v>21</v>
      </c>
      <c r="B27" s="27">
        <v>27143.099609000001</v>
      </c>
      <c r="C27" s="4">
        <v>170.675873</v>
      </c>
      <c r="D27" s="4">
        <v>227.33776900000001</v>
      </c>
      <c r="E27">
        <v>50456.171875</v>
      </c>
      <c r="F27" s="34">
        <f t="shared" si="1"/>
        <v>7.2953859901238012E-3</v>
      </c>
      <c r="G27" s="35">
        <f t="shared" si="2"/>
        <v>5.2460658136542354E-2</v>
      </c>
      <c r="H27" s="35">
        <f t="shared" si="3"/>
        <v>-1.5040353064910484E-2</v>
      </c>
      <c r="I27" s="36">
        <f t="shared" si="4"/>
        <v>1.4540503217462888E-3</v>
      </c>
      <c r="K27" s="31" t="s">
        <v>31</v>
      </c>
      <c r="L27" s="50">
        <f>L26/$O$26</f>
        <v>0.61071388680894356</v>
      </c>
      <c r="M27" s="50">
        <f t="shared" ref="M27:N27" si="9">M26/$O$26</f>
        <v>0.2173943919166727</v>
      </c>
      <c r="N27" s="50">
        <f t="shared" si="9"/>
        <v>0.17189172127438376</v>
      </c>
      <c r="O27" s="49">
        <f>SUM(L27:N27)</f>
        <v>1</v>
      </c>
    </row>
    <row r="28" spans="1:20" x14ac:dyDescent="0.3">
      <c r="A28" s="1">
        <v>22</v>
      </c>
      <c r="B28" s="27">
        <v>25811.900390999999</v>
      </c>
      <c r="C28" s="4">
        <v>175.04199199999999</v>
      </c>
      <c r="D28" s="4">
        <v>231.56626900000001</v>
      </c>
      <c r="E28">
        <v>50591.148437999997</v>
      </c>
      <c r="F28" s="34">
        <f t="shared" si="1"/>
        <v>-5.0287214981345772E-2</v>
      </c>
      <c r="G28" s="35">
        <f t="shared" si="2"/>
        <v>2.5259621148920924E-2</v>
      </c>
      <c r="H28" s="35">
        <f t="shared" si="3"/>
        <v>1.8429211026006549E-2</v>
      </c>
      <c r="I28" s="36">
        <f t="shared" si="4"/>
        <v>2.6715531468110261E-3</v>
      </c>
      <c r="O28" s="49"/>
    </row>
    <row r="29" spans="1:20" x14ac:dyDescent="0.3">
      <c r="A29" s="1">
        <v>23</v>
      </c>
      <c r="B29" s="27">
        <v>26600</v>
      </c>
      <c r="C29" s="4">
        <v>170.59262100000001</v>
      </c>
      <c r="D29" s="4">
        <v>231.198151</v>
      </c>
      <c r="E29">
        <v>50395.828125</v>
      </c>
      <c r="F29" s="34">
        <f t="shared" si="1"/>
        <v>3.0075574740567077E-2</v>
      </c>
      <c r="G29" s="35">
        <f t="shared" si="2"/>
        <v>-2.5747518526587642E-2</v>
      </c>
      <c r="H29" s="35">
        <f t="shared" si="3"/>
        <v>-1.5909523798143099E-3</v>
      </c>
      <c r="I29" s="36">
        <f t="shared" si="4"/>
        <v>-3.8682325820473384E-3</v>
      </c>
      <c r="O29" s="49"/>
    </row>
    <row r="30" spans="1:20" ht="15" thickBot="1" x14ac:dyDescent="0.35">
      <c r="A30" s="1">
        <v>24</v>
      </c>
      <c r="B30" s="27">
        <v>26750</v>
      </c>
      <c r="C30" s="4">
        <v>174.81071499999999</v>
      </c>
      <c r="D30" s="4">
        <v>229.782364</v>
      </c>
      <c r="E30">
        <v>49304.941405999998</v>
      </c>
      <c r="F30" s="34">
        <f t="shared" si="1"/>
        <v>5.6232575543622605E-3</v>
      </c>
      <c r="G30" s="35">
        <f t="shared" si="2"/>
        <v>2.4425379071537738E-2</v>
      </c>
      <c r="H30" s="35">
        <f t="shared" si="3"/>
        <v>-6.1425218874396649E-3</v>
      </c>
      <c r="I30" s="36">
        <f t="shared" si="4"/>
        <v>-2.1884088968796133E-2</v>
      </c>
      <c r="L30" s="51"/>
      <c r="M30" s="51"/>
      <c r="N30" s="51"/>
      <c r="O30" s="51"/>
      <c r="P30" s="51"/>
    </row>
    <row r="31" spans="1:20" x14ac:dyDescent="0.3">
      <c r="A31" s="1">
        <v>25</v>
      </c>
      <c r="B31" s="27">
        <v>26641.099609000001</v>
      </c>
      <c r="C31" s="4">
        <v>179.32484400000001</v>
      </c>
      <c r="D31" s="4">
        <v>231.11319</v>
      </c>
      <c r="E31">
        <v>48976.449219000002</v>
      </c>
      <c r="F31" s="34">
        <f t="shared" si="1"/>
        <v>-4.079351907568988E-3</v>
      </c>
      <c r="G31" s="35">
        <f t="shared" si="2"/>
        <v>2.5495172113466549E-2</v>
      </c>
      <c r="H31" s="35">
        <f t="shared" si="3"/>
        <v>5.7749730370364981E-3</v>
      </c>
      <c r="I31" s="36">
        <f t="shared" si="4"/>
        <v>-6.6847529966382446E-3</v>
      </c>
      <c r="L31" s="54">
        <v>1</v>
      </c>
      <c r="M31" s="1"/>
      <c r="N31" s="1"/>
      <c r="Q31" s="132">
        <f>L11</f>
        <v>0.43779420087036403</v>
      </c>
    </row>
    <row r="32" spans="1:20" ht="17.399999999999999" x14ac:dyDescent="0.35">
      <c r="A32" s="1">
        <v>26</v>
      </c>
      <c r="B32" s="27">
        <v>25695.699218999998</v>
      </c>
      <c r="C32" s="4">
        <v>176.76252700000001</v>
      </c>
      <c r="D32" s="4">
        <v>235.067993</v>
      </c>
      <c r="E32">
        <v>47862.101562999997</v>
      </c>
      <c r="F32" s="34">
        <f t="shared" si="1"/>
        <v>-3.6131489101306098E-2</v>
      </c>
      <c r="G32" s="35">
        <f t="shared" si="2"/>
        <v>-1.439175570200607E-2</v>
      </c>
      <c r="H32" s="35">
        <f t="shared" si="3"/>
        <v>1.6967213699650489E-2</v>
      </c>
      <c r="I32" s="36">
        <f t="shared" si="4"/>
        <v>-2.3015562236835985E-2</v>
      </c>
      <c r="K32" s="31" t="s">
        <v>41</v>
      </c>
      <c r="L32" s="55">
        <v>1</v>
      </c>
      <c r="M32" s="1"/>
      <c r="N32" s="1"/>
      <c r="P32" s="60" t="s">
        <v>44</v>
      </c>
      <c r="Q32" s="133">
        <f>M11</f>
        <v>0.25001034593472959</v>
      </c>
    </row>
    <row r="33" spans="1:17" ht="15" thickBot="1" x14ac:dyDescent="0.35">
      <c r="A33" s="1">
        <v>27</v>
      </c>
      <c r="B33" s="27">
        <v>25073.400390999999</v>
      </c>
      <c r="C33" s="4">
        <v>183.811218</v>
      </c>
      <c r="D33" s="4">
        <v>236.39883399999999</v>
      </c>
      <c r="E33">
        <v>47799.089844000002</v>
      </c>
      <c r="F33" s="34">
        <f t="shared" si="1"/>
        <v>-2.4516093501056803E-2</v>
      </c>
      <c r="G33" s="35">
        <f t="shared" si="2"/>
        <v>3.9102065410208331E-2</v>
      </c>
      <c r="H33" s="35">
        <f t="shared" si="3"/>
        <v>5.6455489910283777E-3</v>
      </c>
      <c r="I33" s="36">
        <f t="shared" si="4"/>
        <v>-1.3173937557418008E-3</v>
      </c>
      <c r="L33" s="56">
        <v>1</v>
      </c>
      <c r="M33" s="1"/>
      <c r="N33" s="1"/>
      <c r="Q33" s="134">
        <f>N11</f>
        <v>0.17384274034147856</v>
      </c>
    </row>
    <row r="34" spans="1:17" ht="15" thickBot="1" x14ac:dyDescent="0.35">
      <c r="A34" s="1">
        <v>28</v>
      </c>
      <c r="B34" s="27">
        <v>25950</v>
      </c>
      <c r="C34" s="4">
        <v>182.22943100000001</v>
      </c>
      <c r="D34" s="4">
        <v>236.03071600000001</v>
      </c>
      <c r="E34">
        <v>47830.488280999998</v>
      </c>
      <c r="F34" s="34">
        <f t="shared" si="1"/>
        <v>3.4364070779814009E-2</v>
      </c>
      <c r="G34" s="35">
        <f t="shared" si="2"/>
        <v>-8.6427387260342072E-3</v>
      </c>
      <c r="H34" s="35">
        <f t="shared" si="3"/>
        <v>-1.5584041027986303E-3</v>
      </c>
      <c r="I34" s="36">
        <f t="shared" si="4"/>
        <v>6.5666792103252867E-4</v>
      </c>
    </row>
    <row r="35" spans="1:17" ht="16.2" thickBot="1" x14ac:dyDescent="0.4">
      <c r="A35" s="1">
        <v>29</v>
      </c>
      <c r="B35" s="27">
        <v>26420.900390999999</v>
      </c>
      <c r="C35" s="4">
        <v>184.171967</v>
      </c>
      <c r="D35" s="4">
        <v>235.07740799999999</v>
      </c>
      <c r="E35">
        <v>47926.730469000002</v>
      </c>
      <c r="F35" s="34">
        <f t="shared" si="1"/>
        <v>1.798376880316457E-2</v>
      </c>
      <c r="G35" s="35">
        <f t="shared" si="2"/>
        <v>1.0603421334769179E-2</v>
      </c>
      <c r="H35" s="35">
        <f t="shared" si="3"/>
        <v>-4.0470934489038185E-3</v>
      </c>
      <c r="I35" s="36">
        <f t="shared" si="4"/>
        <v>2.0101298192001693E-3</v>
      </c>
      <c r="K35" s="98" t="s">
        <v>39</v>
      </c>
      <c r="L35" s="91"/>
    </row>
    <row r="36" spans="1:17" ht="15" thickBot="1" x14ac:dyDescent="0.35">
      <c r="A36" s="1">
        <v>30</v>
      </c>
      <c r="B36" s="27">
        <v>26960</v>
      </c>
      <c r="C36" s="4">
        <v>184.91197199999999</v>
      </c>
      <c r="D36" s="4">
        <v>239.68344099999999</v>
      </c>
      <c r="E36">
        <v>48400.75</v>
      </c>
      <c r="F36" s="34">
        <f t="shared" si="1"/>
        <v>2.0198907629044107E-2</v>
      </c>
      <c r="G36" s="35">
        <f t="shared" si="2"/>
        <v>4.0099604095372166E-3</v>
      </c>
      <c r="H36" s="35">
        <f t="shared" si="3"/>
        <v>1.9404201218016823E-2</v>
      </c>
      <c r="I36" s="36">
        <f t="shared" si="4"/>
        <v>9.8419133344345468E-3</v>
      </c>
    </row>
    <row r="37" spans="1:17" ht="16.2" thickBot="1" x14ac:dyDescent="0.4">
      <c r="A37" s="1">
        <v>31</v>
      </c>
      <c r="B37" s="27">
        <v>26994.199218999998</v>
      </c>
      <c r="C37" s="4">
        <v>187.68704199999999</v>
      </c>
      <c r="D37" s="4">
        <v>242.47726399999999</v>
      </c>
      <c r="E37">
        <v>48808.390625</v>
      </c>
      <c r="F37" s="34">
        <f t="shared" si="1"/>
        <v>1.2677131372593824E-3</v>
      </c>
      <c r="G37" s="35">
        <f t="shared" si="2"/>
        <v>1.4896020704437081E-2</v>
      </c>
      <c r="H37" s="35">
        <f t="shared" si="3"/>
        <v>1.1588892413084003E-2</v>
      </c>
      <c r="I37" s="36">
        <f t="shared" si="4"/>
        <v>8.3869276458697559E-3</v>
      </c>
      <c r="L37" s="57">
        <f t="array" ref="L37:L39">MMULT(R18:T20,L31:L33)/MMULT(TRANSPOSE(L31:L33),MMULT(R18:T20,L31:L33))</f>
        <v>0.28825446263366128</v>
      </c>
      <c r="M37" s="57">
        <f t="array" ref="M37:M39">Port_min_var(L18:N20)</f>
        <v>0.28825446263366122</v>
      </c>
      <c r="O37" s="43" t="s">
        <v>42</v>
      </c>
      <c r="P37" s="43" t="s">
        <v>43</v>
      </c>
      <c r="Q37" s="135" t="s">
        <v>51</v>
      </c>
    </row>
    <row r="38" spans="1:17" ht="16.2" thickTop="1" x14ac:dyDescent="0.35">
      <c r="A38" s="1">
        <v>32</v>
      </c>
      <c r="B38" s="27">
        <v>26895</v>
      </c>
      <c r="C38" s="4">
        <v>190.721115</v>
      </c>
      <c r="D38" s="4">
        <v>239.84390300000001</v>
      </c>
      <c r="E38">
        <v>48882.78125</v>
      </c>
      <c r="F38" s="34">
        <f t="shared" si="1"/>
        <v>-3.681603456159852E-3</v>
      </c>
      <c r="G38" s="35">
        <f t="shared" si="2"/>
        <v>1.6036324612542747E-2</v>
      </c>
      <c r="H38" s="35">
        <f t="shared" si="3"/>
        <v>-1.0919641710295325E-2</v>
      </c>
      <c r="I38" s="36">
        <f t="shared" si="4"/>
        <v>1.5229756783754593E-3</v>
      </c>
      <c r="K38" s="31" t="s">
        <v>40</v>
      </c>
      <c r="L38" s="58">
        <v>0.16401107977470003</v>
      </c>
      <c r="M38" s="58">
        <v>0.1640110797747</v>
      </c>
      <c r="O38" s="5">
        <f t="array" ref="O38">MMULT(TRANSPOSE(L37:L39),Q31:Q33)</f>
        <v>0.26242025799480506</v>
      </c>
      <c r="P38" s="5">
        <f t="array" ref="P38">SQRT(MMULT(TRANSPOSE(L37:L39),MMULT(L18:N20,L37:L39)))</f>
        <v>0.17564629510793175</v>
      </c>
      <c r="Q38" s="62">
        <f>O38/P38</f>
        <v>1.4940267190580487</v>
      </c>
    </row>
    <row r="39" spans="1:17" ht="15" thickBot="1" x14ac:dyDescent="0.35">
      <c r="A39" s="1">
        <v>33</v>
      </c>
      <c r="B39" s="27">
        <v>26895</v>
      </c>
      <c r="C39" s="4">
        <v>190.20309399999999</v>
      </c>
      <c r="D39" s="4">
        <v>236.16287199999999</v>
      </c>
      <c r="E39">
        <v>48928.480469000002</v>
      </c>
      <c r="F39" s="34">
        <f t="shared" si="1"/>
        <v>0</v>
      </c>
      <c r="G39" s="35">
        <f t="shared" si="2"/>
        <v>-2.719813060415242E-3</v>
      </c>
      <c r="H39" s="35">
        <f t="shared" si="3"/>
        <v>-1.5466604986004594E-2</v>
      </c>
      <c r="I39" s="36">
        <f t="shared" si="4"/>
        <v>9.3443682296151574E-4</v>
      </c>
      <c r="L39" s="59">
        <v>0.54773445759163875</v>
      </c>
      <c r="M39" s="59">
        <v>0.54773445759163875</v>
      </c>
      <c r="N39" s="99" t="s">
        <v>76</v>
      </c>
      <c r="O39" s="77" cm="1">
        <f t="array" ref="O39">Rendimiento_Port(L37:L39,Q31:Q33)</f>
        <v>0.26242025799480506</v>
      </c>
      <c r="P39" s="77">
        <f>SQRT(Varianza_Port(L37:L39,L18:N20))</f>
        <v>0.17564629510793175</v>
      </c>
    </row>
    <row r="40" spans="1:17" x14ac:dyDescent="0.3">
      <c r="A40" s="1">
        <v>34</v>
      </c>
      <c r="B40" s="27">
        <v>27396.400390999999</v>
      </c>
      <c r="C40" s="4">
        <v>189.814606</v>
      </c>
      <c r="D40" s="4">
        <v>238.56968699999999</v>
      </c>
      <c r="E40">
        <v>48685.191405999998</v>
      </c>
      <c r="F40" s="34">
        <f t="shared" si="1"/>
        <v>1.847123644744306E-2</v>
      </c>
      <c r="G40" s="35">
        <f t="shared" si="2"/>
        <v>-2.044579162145023E-3</v>
      </c>
      <c r="H40" s="35">
        <f t="shared" si="3"/>
        <v>1.0139753744069514E-2</v>
      </c>
      <c r="I40" s="36">
        <f t="shared" si="4"/>
        <v>-4.9847436755620098E-3</v>
      </c>
      <c r="L40" s="49">
        <f>SUM(L37:L39)</f>
        <v>1</v>
      </c>
      <c r="M40" s="49">
        <f>SUM(M37:M39)</f>
        <v>1</v>
      </c>
    </row>
    <row r="41" spans="1:17" ht="15" thickBot="1" x14ac:dyDescent="0.35">
      <c r="A41" s="1">
        <v>35</v>
      </c>
      <c r="B41" s="27">
        <v>28012.599609000001</v>
      </c>
      <c r="C41" s="4">
        <v>194.837479</v>
      </c>
      <c r="D41" s="4">
        <v>239.94770800000001</v>
      </c>
      <c r="E41">
        <v>48535.589844000002</v>
      </c>
      <c r="F41" s="34">
        <f t="shared" si="1"/>
        <v>2.2242762824915104E-2</v>
      </c>
      <c r="G41" s="35">
        <f t="shared" si="2"/>
        <v>2.6117932128923788E-2</v>
      </c>
      <c r="H41" s="35">
        <f t="shared" si="3"/>
        <v>5.7595599397937082E-3</v>
      </c>
      <c r="I41" s="36">
        <f t="shared" si="4"/>
        <v>-3.0775658898162866E-3</v>
      </c>
    </row>
    <row r="42" spans="1:17" ht="16.8" thickBot="1" x14ac:dyDescent="0.4">
      <c r="A42" s="1">
        <v>36</v>
      </c>
      <c r="B42" s="27">
        <v>27632.099609000001</v>
      </c>
      <c r="C42" s="4">
        <v>193.264938</v>
      </c>
      <c r="D42" s="4">
        <v>237.49369799999999</v>
      </c>
      <c r="E42">
        <v>48969.640625</v>
      </c>
      <c r="F42" s="34">
        <f t="shared" si="1"/>
        <v>-1.3676268757526684E-2</v>
      </c>
      <c r="G42" s="35">
        <f t="shared" si="2"/>
        <v>-8.1037867172021501E-3</v>
      </c>
      <c r="H42" s="35">
        <f t="shared" si="3"/>
        <v>-1.0279927882834685E-2</v>
      </c>
      <c r="I42" s="36">
        <f t="shared" si="4"/>
        <v>8.9031869584337581E-3</v>
      </c>
      <c r="K42" s="100" t="s">
        <v>46</v>
      </c>
      <c r="L42" s="101"/>
      <c r="M42" s="102"/>
      <c r="O42" s="124">
        <f>O45-O39</f>
        <v>5.3587212674439E-2</v>
      </c>
      <c r="P42" s="124">
        <f>P45-P39</f>
        <v>1.7101309506995621E-2</v>
      </c>
    </row>
    <row r="43" spans="1:17" ht="15" thickBot="1" x14ac:dyDescent="0.35">
      <c r="A43" s="1">
        <v>37</v>
      </c>
      <c r="B43" s="27">
        <v>27780</v>
      </c>
      <c r="C43" s="4">
        <v>197.60327100000001</v>
      </c>
      <c r="D43" s="4">
        <v>239.5513</v>
      </c>
      <c r="E43">
        <v>48643.429687999997</v>
      </c>
      <c r="F43" s="34">
        <f t="shared" si="1"/>
        <v>5.3382110861604709E-3</v>
      </c>
      <c r="G43" s="35">
        <f t="shared" si="2"/>
        <v>2.2199355504646825E-2</v>
      </c>
      <c r="H43" s="35">
        <f t="shared" si="3"/>
        <v>8.626501770599964E-3</v>
      </c>
      <c r="I43" s="36">
        <f t="shared" si="4"/>
        <v>-6.6837801608453573E-3</v>
      </c>
    </row>
    <row r="44" spans="1:17" ht="16.2" x14ac:dyDescent="0.35">
      <c r="A44" s="1">
        <v>38</v>
      </c>
      <c r="B44" s="27">
        <v>28370</v>
      </c>
      <c r="C44" s="4">
        <v>198.482056</v>
      </c>
      <c r="D44" s="4">
        <v>241.23138399999999</v>
      </c>
      <c r="E44">
        <v>48463.441405999998</v>
      </c>
      <c r="F44" s="34">
        <f t="shared" si="1"/>
        <v>2.1015911494562306E-2</v>
      </c>
      <c r="G44" s="35">
        <f t="shared" si="2"/>
        <v>4.4373592357321891E-3</v>
      </c>
      <c r="H44" s="35">
        <f t="shared" si="3"/>
        <v>6.9889823185009178E-3</v>
      </c>
      <c r="I44" s="36">
        <f t="shared" si="4"/>
        <v>-3.7070185886662176E-3</v>
      </c>
      <c r="L44" s="57">
        <f t="array" ref="L44:L46">MMULT(R18:T20,Q31:Q33)/MMULT(TRANSPOSE(L31:L33),MMULT(R18:T20,Q31:Q33))</f>
        <v>0.49263688619963597</v>
      </c>
      <c r="M44" s="57">
        <f t="array" ref="M44:M46">Port_max_sharpe(L18:N20,Q31:Q33)</f>
        <v>0.49263688619963597</v>
      </c>
      <c r="O44" s="103" t="s">
        <v>49</v>
      </c>
      <c r="P44" s="104" t="s">
        <v>48</v>
      </c>
      <c r="Q44" s="136" t="s">
        <v>50</v>
      </c>
    </row>
    <row r="45" spans="1:17" ht="16.8" thickBot="1" x14ac:dyDescent="0.4">
      <c r="A45" s="1">
        <v>39</v>
      </c>
      <c r="B45" s="27">
        <v>28506.699218999998</v>
      </c>
      <c r="C45" s="4">
        <v>197.15928600000001</v>
      </c>
      <c r="D45" s="4">
        <v>239.57019</v>
      </c>
      <c r="E45">
        <v>47970.191405999998</v>
      </c>
      <c r="F45" s="34">
        <f t="shared" si="1"/>
        <v>4.8068711472868822E-3</v>
      </c>
      <c r="G45" s="35">
        <f t="shared" si="2"/>
        <v>-6.686737649818638E-3</v>
      </c>
      <c r="H45" s="35">
        <f t="shared" si="3"/>
        <v>-6.9101296667035518E-3</v>
      </c>
      <c r="I45" s="36">
        <f t="shared" si="4"/>
        <v>-1.0229922636209145E-2</v>
      </c>
      <c r="K45" s="1" t="s">
        <v>47</v>
      </c>
      <c r="L45" s="58">
        <v>0.15928693846251399</v>
      </c>
      <c r="M45" s="58">
        <v>0.15928693846251399</v>
      </c>
      <c r="O45" s="105">
        <f t="array" ref="O45">Rendimiento_Port(L44:L46,Q31:Q33)</f>
        <v>0.31600747066924406</v>
      </c>
      <c r="P45" s="106">
        <f t="array" ref="P45">SQRT(Varianza_Port(L44:L46,L18:N20))</f>
        <v>0.19274760461492738</v>
      </c>
      <c r="Q45" s="107">
        <f>O45/P45</f>
        <v>1.639488445527332</v>
      </c>
    </row>
    <row r="46" spans="1:17" ht="15" thickBot="1" x14ac:dyDescent="0.35">
      <c r="A46" s="1">
        <v>40</v>
      </c>
      <c r="B46" s="27">
        <v>28617.199218999998</v>
      </c>
      <c r="C46" s="4">
        <v>184.97671500000001</v>
      </c>
      <c r="D46" s="4">
        <v>240.75</v>
      </c>
      <c r="E46">
        <v>47437.929687999997</v>
      </c>
      <c r="F46" s="34">
        <f t="shared" si="1"/>
        <v>3.8687884002121219E-3</v>
      </c>
      <c r="G46" s="35">
        <f t="shared" si="2"/>
        <v>-6.3782008114582539E-2</v>
      </c>
      <c r="H46" s="35">
        <f t="shared" si="3"/>
        <v>4.9126078700363809E-3</v>
      </c>
      <c r="I46" s="36">
        <f t="shared" si="4"/>
        <v>-1.1157692528456283E-2</v>
      </c>
      <c r="L46" s="59">
        <v>0.34807617533785007</v>
      </c>
      <c r="M46" s="59">
        <v>0.34807617533785007</v>
      </c>
    </row>
    <row r="47" spans="1:17" x14ac:dyDescent="0.3">
      <c r="A47" s="1">
        <v>41</v>
      </c>
      <c r="B47" s="27">
        <v>28150</v>
      </c>
      <c r="C47" s="4">
        <v>187.35401899999999</v>
      </c>
      <c r="D47" s="4">
        <v>244.17622399999999</v>
      </c>
      <c r="E47">
        <v>47599.421875</v>
      </c>
      <c r="F47" s="34">
        <f t="shared" si="1"/>
        <v>-1.6460553782559454E-2</v>
      </c>
      <c r="G47" s="35">
        <f t="shared" si="2"/>
        <v>1.2770024545925176E-2</v>
      </c>
      <c r="H47" s="35">
        <f t="shared" si="3"/>
        <v>1.4131143440939815E-2</v>
      </c>
      <c r="I47" s="36">
        <f t="shared" si="4"/>
        <v>3.3985025840441471E-3</v>
      </c>
      <c r="L47" s="49">
        <f>SUM(L44:L46)</f>
        <v>1</v>
      </c>
      <c r="M47" s="49">
        <f>SUM(M44:M46)</f>
        <v>1</v>
      </c>
    </row>
    <row r="48" spans="1:17" ht="15" thickBot="1" x14ac:dyDescent="0.35">
      <c r="A48" s="1">
        <v>42</v>
      </c>
      <c r="B48" s="27">
        <v>28500</v>
      </c>
      <c r="C48" s="4">
        <v>191.28538499999999</v>
      </c>
      <c r="D48" s="4">
        <v>241.155869</v>
      </c>
      <c r="E48">
        <v>47548.101562999997</v>
      </c>
      <c r="F48" s="34">
        <f t="shared" si="1"/>
        <v>1.2356732688905428E-2</v>
      </c>
      <c r="G48" s="35">
        <f t="shared" si="2"/>
        <v>2.0766498362733265E-2</v>
      </c>
      <c r="H48" s="35">
        <f t="shared" si="3"/>
        <v>-1.2446710351103916E-2</v>
      </c>
      <c r="I48" s="36">
        <f t="shared" si="4"/>
        <v>-1.0787525544007129E-3</v>
      </c>
    </row>
    <row r="49" spans="1:16" ht="15" thickBot="1" x14ac:dyDescent="0.35">
      <c r="A49" s="1">
        <v>43</v>
      </c>
      <c r="B49" s="27">
        <v>28656.800781000002</v>
      </c>
      <c r="C49" s="4">
        <v>194.17146299999999</v>
      </c>
      <c r="D49" s="4">
        <v>236.842422</v>
      </c>
      <c r="E49">
        <v>47720.910155999998</v>
      </c>
      <c r="F49" s="34">
        <f t="shared" si="1"/>
        <v>5.4867022722356234E-3</v>
      </c>
      <c r="G49" s="35">
        <f t="shared" si="2"/>
        <v>1.4975123412104054E-2</v>
      </c>
      <c r="H49" s="35">
        <f t="shared" si="3"/>
        <v>-1.8048449843661E-2</v>
      </c>
      <c r="I49" s="36">
        <f t="shared" si="4"/>
        <v>3.6278067633835178E-3</v>
      </c>
      <c r="K49" s="108" t="s">
        <v>52</v>
      </c>
      <c r="L49" s="109"/>
      <c r="M49" s="110"/>
    </row>
    <row r="50" spans="1:16" ht="15" thickBot="1" x14ac:dyDescent="0.35">
      <c r="A50" s="1">
        <v>44</v>
      </c>
      <c r="B50" s="27">
        <v>28808.400390999999</v>
      </c>
      <c r="C50" s="4">
        <v>212.533142</v>
      </c>
      <c r="D50" s="4">
        <v>235.37001000000001</v>
      </c>
      <c r="E50">
        <v>47884.628905999998</v>
      </c>
      <c r="F50" s="34">
        <f t="shared" si="1"/>
        <v>5.2762353077032038E-3</v>
      </c>
      <c r="G50" s="35">
        <f t="shared" si="2"/>
        <v>9.0356339943973657E-2</v>
      </c>
      <c r="H50" s="35">
        <f t="shared" si="3"/>
        <v>-6.2362473842479497E-3</v>
      </c>
      <c r="I50" s="36">
        <f t="shared" si="4"/>
        <v>3.4248833621764226E-3</v>
      </c>
    </row>
    <row r="51" spans="1:16" ht="15.6" x14ac:dyDescent="0.35">
      <c r="A51" s="1">
        <v>45</v>
      </c>
      <c r="B51" s="27">
        <v>28907.900390999999</v>
      </c>
      <c r="C51" s="4">
        <v>201.66413900000001</v>
      </c>
      <c r="D51" s="4">
        <v>238.40921</v>
      </c>
      <c r="E51">
        <v>47662.121094000002</v>
      </c>
      <c r="F51" s="34">
        <f t="shared" si="1"/>
        <v>3.4479028358875095E-3</v>
      </c>
      <c r="G51" s="35">
        <f t="shared" si="2"/>
        <v>-5.2494303156664819E-2</v>
      </c>
      <c r="H51" s="35">
        <f t="shared" si="3"/>
        <v>1.2829780455150722E-2</v>
      </c>
      <c r="I51" s="36">
        <f t="shared" si="4"/>
        <v>-4.657577871333864E-3</v>
      </c>
      <c r="K51" s="31" t="s">
        <v>0</v>
      </c>
      <c r="L51" s="20" t="s">
        <v>53</v>
      </c>
      <c r="M51" s="26" t="s">
        <v>54</v>
      </c>
      <c r="N51" s="21" t="s">
        <v>55</v>
      </c>
      <c r="O51" s="31" t="s">
        <v>33</v>
      </c>
      <c r="P51" s="31" t="s">
        <v>32</v>
      </c>
    </row>
    <row r="52" spans="1:16" x14ac:dyDescent="0.3">
      <c r="A52" s="1">
        <v>46</v>
      </c>
      <c r="B52" s="27">
        <v>28902.699218999998</v>
      </c>
      <c r="C52" s="4">
        <v>197.843796</v>
      </c>
      <c r="D52" s="4">
        <v>235.40776099999999</v>
      </c>
      <c r="E52">
        <v>48240</v>
      </c>
      <c r="F52" s="34">
        <f t="shared" si="1"/>
        <v>-1.7993835210571902E-4</v>
      </c>
      <c r="G52" s="35">
        <f t="shared" si="2"/>
        <v>-1.9125825148798611E-2</v>
      </c>
      <c r="H52" s="35">
        <f t="shared" si="3"/>
        <v>-1.266940329885154E-2</v>
      </c>
      <c r="I52" s="36">
        <f t="shared" si="4"/>
        <v>1.2051577038680717E-2</v>
      </c>
      <c r="K52" s="51">
        <v>-0.1</v>
      </c>
      <c r="L52" s="64">
        <f t="array" ref="L52:N52">TRANSPOSE(Port_R($L$18:$N$20,$Q$31:$Q$33,K52))</f>
        <v>-1.0940217742066332</v>
      </c>
      <c r="M52" s="65">
        <v>0.19596132364291763</v>
      </c>
      <c r="N52" s="66">
        <v>1.8980604505637149</v>
      </c>
      <c r="O52" s="5">
        <f t="array" ref="O52">SQRT(Varianza_Port(TRANSPOSE(L52:N52),$L$18:$N$20))</f>
        <v>0.56481742020635683</v>
      </c>
      <c r="P52" s="5">
        <f t="array" ref="P52">Rendimiento_Port(TRANSPOSE(L52:N52),$Q$31:$Q$33)</f>
        <v>-9.9999999999999756E-2</v>
      </c>
    </row>
    <row r="53" spans="1:16" x14ac:dyDescent="0.3">
      <c r="A53" s="1">
        <v>47</v>
      </c>
      <c r="B53" s="27">
        <v>29395</v>
      </c>
      <c r="C53" s="4">
        <v>205.058975</v>
      </c>
      <c r="D53" s="4">
        <v>232.97261</v>
      </c>
      <c r="E53">
        <v>48556.449219000002</v>
      </c>
      <c r="F53" s="34">
        <f t="shared" si="1"/>
        <v>1.6889602515892936E-2</v>
      </c>
      <c r="G53" s="35">
        <f t="shared" si="2"/>
        <v>3.5819810441353052E-2</v>
      </c>
      <c r="H53" s="35">
        <f t="shared" si="3"/>
        <v>-1.0398270688800707E-2</v>
      </c>
      <c r="I53" s="36">
        <f t="shared" si="4"/>
        <v>6.5384701390348342E-3</v>
      </c>
      <c r="K53" s="49">
        <f>K52+2%</f>
        <v>-0.08</v>
      </c>
      <c r="L53" s="64">
        <f t="array" ref="L53:N53">TRANSPOSE(Port_R($L$18:$N$20,$Q$31:$Q$33,K53))</f>
        <v>-1.0177414777084111</v>
      </c>
      <c r="M53" s="65">
        <v>0.19419816371113074</v>
      </c>
      <c r="N53" s="66">
        <v>1.8235433139972801</v>
      </c>
      <c r="O53" s="5">
        <f t="array" ref="O53">SQRT(Varianza_Port(TRANSPOSE(L53:N53),$L$18:$N$20))</f>
        <v>0.53674159377878017</v>
      </c>
      <c r="P53" s="5">
        <f t="array" ref="P53">Rendimiento_Port(TRANSPOSE(L53:N53),$Q$31:$Q$33)</f>
        <v>-7.9999999999999682E-2</v>
      </c>
    </row>
    <row r="54" spans="1:16" x14ac:dyDescent="0.3">
      <c r="A54" s="1">
        <v>48</v>
      </c>
      <c r="B54" s="27">
        <v>29732.699218999998</v>
      </c>
      <c r="C54" s="4">
        <v>210.00782799999999</v>
      </c>
      <c r="D54" s="4">
        <v>237.52200300000001</v>
      </c>
      <c r="E54">
        <v>48671.289062999997</v>
      </c>
      <c r="F54" s="34">
        <f t="shared" si="1"/>
        <v>1.1422832120971452E-2</v>
      </c>
      <c r="G54" s="35">
        <f t="shared" si="2"/>
        <v>2.3847185520766034E-2</v>
      </c>
      <c r="H54" s="35">
        <f t="shared" si="3"/>
        <v>1.9339370386352063E-2</v>
      </c>
      <c r="I54" s="36">
        <f t="shared" si="4"/>
        <v>2.3622867184516028E-3</v>
      </c>
      <c r="K54" s="49">
        <f t="shared" ref="K54:K69" si="10">K53+2%</f>
        <v>-0.06</v>
      </c>
      <c r="L54" s="64">
        <f t="array" ref="L54:N54">TRANSPOSE(Port_R($L$18:$N$20,$Q$31:$Q$33,K54))</f>
        <v>-0.94146118121018896</v>
      </c>
      <c r="M54" s="65">
        <v>0.19243500377934375</v>
      </c>
      <c r="N54" s="66">
        <v>1.7490261774308453</v>
      </c>
      <c r="O54" s="5">
        <f t="array" ref="O54">SQRT(Varianza_Port(TRANSPOSE(L54:N54),$L$18:$N$20))</f>
        <v>0.50884132050906283</v>
      </c>
      <c r="P54" s="5">
        <f t="array" ref="P54">Rendimiento_Port(TRANSPOSE(L54:N54),$Q$31:$Q$33)</f>
        <v>-5.9999999999999665E-2</v>
      </c>
    </row>
    <row r="55" spans="1:16" x14ac:dyDescent="0.3">
      <c r="A55" s="1">
        <v>49</v>
      </c>
      <c r="B55" s="27">
        <v>29599</v>
      </c>
      <c r="C55" s="4">
        <v>210.77560399999999</v>
      </c>
      <c r="D55" s="4">
        <v>237.465363</v>
      </c>
      <c r="E55">
        <v>48557.011719000002</v>
      </c>
      <c r="F55" s="34">
        <f t="shared" si="1"/>
        <v>-4.5068469996436865E-3</v>
      </c>
      <c r="G55" s="35">
        <f t="shared" si="2"/>
        <v>3.6492732064208129E-3</v>
      </c>
      <c r="H55" s="35">
        <f t="shared" si="3"/>
        <v>-2.384905550034826E-4</v>
      </c>
      <c r="I55" s="36">
        <f t="shared" si="4"/>
        <v>-2.3507023305702527E-3</v>
      </c>
      <c r="K55" s="49">
        <f t="shared" si="10"/>
        <v>-3.9999999999999994E-2</v>
      </c>
      <c r="L55" s="64">
        <f t="array" ref="L55:N55">TRANSPOSE(Port_R($L$18:$N$20,$Q$31:$Q$33,K55))</f>
        <v>-0.86518088471196686</v>
      </c>
      <c r="M55" s="65">
        <v>0.19067184384755653</v>
      </c>
      <c r="N55" s="66">
        <v>1.6745090408644097</v>
      </c>
      <c r="O55" s="5">
        <f t="array" ref="O55">SQRT(Varianza_Port(TRANSPOSE(L55:N55),$L$18:$N$20))</f>
        <v>0.48114714076281201</v>
      </c>
      <c r="P55" s="5">
        <f t="array" ref="P55">Rendimiento_Port(TRANSPOSE(L55:N55),$Q$31:$Q$33)</f>
        <v>-3.9999999999999869E-2</v>
      </c>
    </row>
    <row r="56" spans="1:16" x14ac:dyDescent="0.3">
      <c r="A56" s="1">
        <v>50</v>
      </c>
      <c r="B56" s="27">
        <v>29617.199218999998</v>
      </c>
      <c r="C56" s="4">
        <v>202.89442399999999</v>
      </c>
      <c r="D56" s="4">
        <v>236.700851</v>
      </c>
      <c r="E56">
        <v>48156.441405999998</v>
      </c>
      <c r="F56" s="34">
        <f t="shared" si="1"/>
        <v>6.1467030349896846E-4</v>
      </c>
      <c r="G56" s="35">
        <f t="shared" si="2"/>
        <v>-3.8108314483469727E-2</v>
      </c>
      <c r="H56" s="35">
        <f t="shared" si="3"/>
        <v>-3.2246610572616344E-3</v>
      </c>
      <c r="I56" s="36">
        <f t="shared" si="4"/>
        <v>-8.2836997467889903E-3</v>
      </c>
      <c r="K56" s="49">
        <f t="shared" si="10"/>
        <v>-1.9999999999999993E-2</v>
      </c>
      <c r="L56" s="64">
        <f t="array" ref="L56:N56">TRANSPOSE(Port_R($L$18:$N$20,$Q$31:$Q$33,K56))</f>
        <v>-0.78890058821374498</v>
      </c>
      <c r="M56" s="65">
        <v>0.18890868391576954</v>
      </c>
      <c r="N56" s="66">
        <v>1.5999919042979747</v>
      </c>
      <c r="O56" s="5">
        <f t="array" ref="O56">SQRT(Varianza_Port(TRANSPOSE(L56:N56),$L$18:$N$20))</f>
        <v>0.45369679667444507</v>
      </c>
      <c r="P56" s="5">
        <f t="array" ref="P56">Rendimiento_Port(TRANSPOSE(L56:N56),$Q$31:$Q$33)</f>
        <v>-1.9999999999999962E-2</v>
      </c>
    </row>
    <row r="57" spans="1:16" x14ac:dyDescent="0.3">
      <c r="A57" s="1">
        <v>51</v>
      </c>
      <c r="B57" s="27">
        <v>29617</v>
      </c>
      <c r="C57" s="4">
        <v>211.765366</v>
      </c>
      <c r="D57" s="4">
        <v>236.95567299999999</v>
      </c>
      <c r="E57">
        <v>47817.050780999998</v>
      </c>
      <c r="F57" s="34">
        <f t="shared" si="1"/>
        <v>-6.7264858013184068E-6</v>
      </c>
      <c r="G57" s="35">
        <f t="shared" si="2"/>
        <v>4.2793132669192956E-2</v>
      </c>
      <c r="H57" s="35">
        <f t="shared" si="3"/>
        <v>1.0759781051154079E-3</v>
      </c>
      <c r="I57" s="36">
        <f t="shared" si="4"/>
        <v>-7.072620408272853E-3</v>
      </c>
      <c r="K57" s="49">
        <f t="shared" si="10"/>
        <v>0</v>
      </c>
      <c r="L57" s="64">
        <f t="array" ref="L57:N57">TRANSPOSE(Port_R($L$18:$N$20,$Q$31:$Q$33,K57))</f>
        <v>-0.71262029171552221</v>
      </c>
      <c r="M57" s="65">
        <v>0.18714552398398265</v>
      </c>
      <c r="N57" s="66">
        <v>1.5254747677315394</v>
      </c>
      <c r="O57" s="5">
        <f t="array" ref="O57">SQRT(Varianza_Port(TRANSPOSE(L57:N57),$L$18:$N$20))</f>
        <v>0.42653736788548446</v>
      </c>
      <c r="P57" s="5">
        <f t="array" ref="P57">Rendimiento_Port(TRANSPOSE(L57:N57),$Q$31:$Q$33)</f>
        <v>3.3306690738754696E-16</v>
      </c>
    </row>
    <row r="58" spans="1:16" x14ac:dyDescent="0.3">
      <c r="A58" s="1">
        <v>52</v>
      </c>
      <c r="B58" s="27">
        <v>29364.699218999998</v>
      </c>
      <c r="C58" s="4">
        <v>219.674316</v>
      </c>
      <c r="D58" s="4">
        <v>240.37245200000001</v>
      </c>
      <c r="E58">
        <v>47477.578125</v>
      </c>
      <c r="F58" s="34">
        <f t="shared" si="1"/>
        <v>-8.5552747113350081E-3</v>
      </c>
      <c r="G58" s="35">
        <f t="shared" si="2"/>
        <v>3.6667170081030952E-2</v>
      </c>
      <c r="H58" s="35">
        <f t="shared" si="3"/>
        <v>1.4316513861895435E-2</v>
      </c>
      <c r="I58" s="36">
        <f t="shared" si="4"/>
        <v>-7.1247266695781174E-3</v>
      </c>
      <c r="K58" s="49">
        <f t="shared" si="10"/>
        <v>0.02</v>
      </c>
      <c r="L58" s="64">
        <f t="array" ref="L58:N58">TRANSPOSE(Port_R($L$18:$N$20,$Q$31:$Q$33,K58))</f>
        <v>-0.63633999521730056</v>
      </c>
      <c r="M58" s="65">
        <v>0.18538236405219555</v>
      </c>
      <c r="N58" s="66">
        <v>1.4509576311651047</v>
      </c>
      <c r="O58" s="5">
        <f t="array" ref="O58">SQRT(Varianza_Port(TRANSPOSE(L58:N58),$L$18:$N$20))</f>
        <v>0.39972815729480771</v>
      </c>
      <c r="P58" s="5">
        <f t="array" ref="P58">Rendimiento_Port(TRANSPOSE(L58:N58),$Q$31:$Q$33)</f>
        <v>2.0000000000000129E-2</v>
      </c>
    </row>
    <row r="59" spans="1:16" x14ac:dyDescent="0.3">
      <c r="A59" s="1">
        <v>53</v>
      </c>
      <c r="B59" s="27">
        <v>29754.5</v>
      </c>
      <c r="C59" s="4">
        <v>214.688446</v>
      </c>
      <c r="D59" s="4">
        <v>243.70429999999999</v>
      </c>
      <c r="E59">
        <v>47076.511719000002</v>
      </c>
      <c r="F59" s="34">
        <f t="shared" si="1"/>
        <v>1.3187134975215181E-2</v>
      </c>
      <c r="G59" s="35">
        <f t="shared" si="2"/>
        <v>-2.2958178874761665E-2</v>
      </c>
      <c r="H59" s="35">
        <f t="shared" si="3"/>
        <v>1.3766001371792833E-2</v>
      </c>
      <c r="I59" s="36">
        <f t="shared" si="4"/>
        <v>-8.4833731036915438E-3</v>
      </c>
      <c r="K59" s="49">
        <f t="shared" si="10"/>
        <v>0.04</v>
      </c>
      <c r="L59" s="64">
        <f t="array" ref="L59:N59">TRANSPOSE(Port_R($L$18:$N$20,$Q$31:$Q$33,K59))</f>
        <v>-0.56005969871907824</v>
      </c>
      <c r="M59" s="65">
        <v>0.18361920412040866</v>
      </c>
      <c r="N59" s="66">
        <v>1.3764404945986695</v>
      </c>
      <c r="O59" s="5">
        <f t="array" ref="O59">SQRT(Varianza_Port(TRANSPOSE(L59:N59),$L$18:$N$20))</f>
        <v>0.3733446181579812</v>
      </c>
      <c r="P59" s="5">
        <f t="array" ref="P59">Rendimiento_Port(TRANSPOSE(L59:N59),$Q$31:$Q$33)</f>
        <v>4.0000000000000258E-2</v>
      </c>
    </row>
    <row r="60" spans="1:16" x14ac:dyDescent="0.3">
      <c r="A60" s="1">
        <v>54</v>
      </c>
      <c r="B60" s="27">
        <v>29027.900390999999</v>
      </c>
      <c r="C60" s="4">
        <v>214.40167199999999</v>
      </c>
      <c r="D60" s="4">
        <v>246.167755</v>
      </c>
      <c r="E60">
        <v>47521.839844000002</v>
      </c>
      <c r="F60" s="34">
        <f t="shared" si="1"/>
        <v>-2.4722931127071301E-2</v>
      </c>
      <c r="G60" s="35">
        <f t="shared" si="2"/>
        <v>-1.3366611379168627E-3</v>
      </c>
      <c r="H60" s="35">
        <f t="shared" si="3"/>
        <v>1.0057629296900433E-2</v>
      </c>
      <c r="I60" s="36">
        <f t="shared" si="4"/>
        <v>9.4152045432732631E-3</v>
      </c>
      <c r="K60" s="49">
        <f t="shared" si="10"/>
        <v>0.06</v>
      </c>
      <c r="L60" s="64">
        <f t="array" ref="L60:N60">TRANSPOSE(Port_R($L$18:$N$20,$Q$31:$Q$33,K60))</f>
        <v>-0.48377940222085636</v>
      </c>
      <c r="M60" s="65">
        <v>0.18185604418862156</v>
      </c>
      <c r="N60" s="66">
        <v>1.3019233580322345</v>
      </c>
      <c r="O60" s="5">
        <f t="array" ref="O60">SQRT(Varianza_Port(TRANSPOSE(L60:N60),$L$18:$N$20))</f>
        <v>0.3474837243992242</v>
      </c>
      <c r="P60" s="5">
        <f t="array" ref="P60">Rendimiento_Port(TRANSPOSE(L60:N60),$Q$31:$Q$33)</f>
        <v>6.0000000000000081E-2</v>
      </c>
    </row>
    <row r="61" spans="1:16" x14ac:dyDescent="0.3">
      <c r="A61" s="1">
        <v>55</v>
      </c>
      <c r="B61" s="27">
        <v>28727.400390999999</v>
      </c>
      <c r="C61" s="4">
        <v>205.40124499999999</v>
      </c>
      <c r="D61" s="4">
        <v>243.71369899999999</v>
      </c>
      <c r="E61">
        <v>47361.039062999997</v>
      </c>
      <c r="F61" s="34">
        <f t="shared" si="1"/>
        <v>-1.0406065160879158E-2</v>
      </c>
      <c r="G61" s="35">
        <f t="shared" si="2"/>
        <v>-4.288586885389381E-2</v>
      </c>
      <c r="H61" s="35">
        <f t="shared" si="3"/>
        <v>-1.0019062809735654E-2</v>
      </c>
      <c r="I61" s="36">
        <f t="shared" si="4"/>
        <v>-3.3894615508780188E-3</v>
      </c>
      <c r="K61" s="49">
        <f t="shared" si="10"/>
        <v>0.08</v>
      </c>
      <c r="L61" s="64">
        <f t="array" ref="L61:N61">TRANSPOSE(Port_R($L$18:$N$20,$Q$31:$Q$33,K61))</f>
        <v>-0.40749910572263404</v>
      </c>
      <c r="M61" s="65">
        <v>0.18009288425683456</v>
      </c>
      <c r="N61" s="66">
        <v>1.2274062214657995</v>
      </c>
      <c r="O61" s="5">
        <f t="array" ref="O61">SQRT(Varianza_Port(TRANSPOSE(L61:N61),$L$18:$N$20))</f>
        <v>0.32227132075129505</v>
      </c>
      <c r="P61" s="5">
        <f t="array" ref="P61">Rendimiento_Port(TRANSPOSE(L61:N61),$Q$31:$Q$33)</f>
        <v>8.000000000000021E-2</v>
      </c>
    </row>
    <row r="62" spans="1:16" x14ac:dyDescent="0.3">
      <c r="A62" s="1">
        <v>56</v>
      </c>
      <c r="B62" s="27">
        <v>27809.199218999998</v>
      </c>
      <c r="C62" s="4">
        <v>203.12567100000001</v>
      </c>
      <c r="D62" s="4">
        <v>244.74250799999999</v>
      </c>
      <c r="E62">
        <v>46515.929687999997</v>
      </c>
      <c r="F62" s="34">
        <f t="shared" si="1"/>
        <v>-3.2484511652007345E-2</v>
      </c>
      <c r="G62" s="35">
        <f t="shared" si="2"/>
        <v>-1.1140502356646308E-2</v>
      </c>
      <c r="H62" s="35">
        <f t="shared" si="3"/>
        <v>4.2124985070080096E-3</v>
      </c>
      <c r="I62" s="36">
        <f t="shared" si="4"/>
        <v>-1.8005102146168621E-2</v>
      </c>
      <c r="K62" s="49">
        <f t="shared" si="10"/>
        <v>0.1</v>
      </c>
      <c r="L62" s="64">
        <f t="array" ref="L62:N62">TRANSPOSE(Port_R($L$18:$N$20,$Q$31:$Q$33,K62))</f>
        <v>-0.33121880922441194</v>
      </c>
      <c r="M62" s="65">
        <v>0.17832972432504751</v>
      </c>
      <c r="N62" s="66">
        <v>1.1528890848993643</v>
      </c>
      <c r="O62" s="5">
        <f t="array" ref="O62">SQRT(Varianza_Port(TRANSPOSE(L62:N62),$L$18:$N$20))</f>
        <v>0.29787212067733554</v>
      </c>
      <c r="P62" s="5">
        <f t="array" ref="P62">Rendimiento_Port(TRANSPOSE(L62:N62),$Q$31:$Q$33)</f>
        <v>0.10000000000000014</v>
      </c>
    </row>
    <row r="63" spans="1:16" x14ac:dyDescent="0.3">
      <c r="A63" s="1">
        <v>57</v>
      </c>
      <c r="B63" s="27">
        <v>28481.199218999998</v>
      </c>
      <c r="C63" s="4">
        <v>206.84425400000001</v>
      </c>
      <c r="D63" s="4">
        <v>246.29989599999999</v>
      </c>
      <c r="E63">
        <v>46858.460937999997</v>
      </c>
      <c r="F63" s="34">
        <f t="shared" si="1"/>
        <v>2.3877319948824745E-2</v>
      </c>
      <c r="G63" s="35">
        <f t="shared" si="2"/>
        <v>1.8141257474912815E-2</v>
      </c>
      <c r="H63" s="35">
        <f t="shared" si="3"/>
        <v>6.3432127623896722E-3</v>
      </c>
      <c r="I63" s="36">
        <f t="shared" si="4"/>
        <v>7.3367608438443576E-3</v>
      </c>
      <c r="K63" s="49">
        <f t="shared" si="10"/>
        <v>0.12000000000000001</v>
      </c>
      <c r="L63" s="64">
        <f t="array" ref="L63:N63">TRANSPOSE(Port_R($L$18:$N$20,$Q$31:$Q$33,K63))</f>
        <v>-0.25493851272618984</v>
      </c>
      <c r="M63" s="65">
        <v>0.17656656439326057</v>
      </c>
      <c r="N63" s="66">
        <v>1.0783719483329293</v>
      </c>
      <c r="O63" s="5">
        <f t="array" ref="O63">SQRT(Varianza_Port(TRANSPOSE(L63:N63),$L$18:$N$20))</f>
        <v>0.27450305465776359</v>
      </c>
      <c r="P63" s="5">
        <f t="array" ref="P63">Rendimiento_Port(TRANSPOSE(L63:N63),$Q$31:$Q$33)</f>
        <v>0.12000000000000013</v>
      </c>
    </row>
    <row r="64" spans="1:16" x14ac:dyDescent="0.3">
      <c r="A64" s="1">
        <v>58</v>
      </c>
      <c r="B64" s="27">
        <v>27400.5</v>
      </c>
      <c r="C64" s="4">
        <v>204.94795199999999</v>
      </c>
      <c r="D64" s="4">
        <v>240.551804</v>
      </c>
      <c r="E64">
        <v>46793.578125</v>
      </c>
      <c r="F64" s="34">
        <f t="shared" si="1"/>
        <v>-3.8682931663279636E-2</v>
      </c>
      <c r="G64" s="35">
        <f t="shared" si="2"/>
        <v>-9.2100597187963606E-3</v>
      </c>
      <c r="H64" s="35">
        <f t="shared" si="3"/>
        <v>-2.3614415279414262E-2</v>
      </c>
      <c r="I64" s="36">
        <f t="shared" si="4"/>
        <v>-1.3856147507308914E-3</v>
      </c>
      <c r="K64" s="49">
        <f>K63+2%</f>
        <v>0.14000000000000001</v>
      </c>
      <c r="L64" s="64">
        <f t="array" ref="L64:N64">TRANSPOSE(Port_R($L$18:$N$20,$Q$31:$Q$33,K64))</f>
        <v>-0.17865821622796763</v>
      </c>
      <c r="M64" s="65">
        <v>0.17480340446147341</v>
      </c>
      <c r="N64" s="66">
        <v>1.003854811766494</v>
      </c>
      <c r="O64" s="5">
        <f t="array" ref="O64">SQRT(Varianza_Port(TRANSPOSE(L64:N64),$L$18:$N$20))</f>
        <v>0.25245036026449635</v>
      </c>
      <c r="P64" s="5">
        <f t="array" ref="P64">Rendimiento_Port(TRANSPOSE(L64:N64),$Q$31:$Q$33)</f>
        <v>0.1400000000000001</v>
      </c>
    </row>
    <row r="65" spans="1:20" x14ac:dyDescent="0.3">
      <c r="A65" s="1">
        <v>59</v>
      </c>
      <c r="B65" s="27">
        <v>26235.900390999999</v>
      </c>
      <c r="C65" s="4">
        <v>200.942612</v>
      </c>
      <c r="D65" s="4">
        <v>245.62974500000001</v>
      </c>
      <c r="E65">
        <v>46124.851562999997</v>
      </c>
      <c r="F65" s="34">
        <f t="shared" si="1"/>
        <v>-4.3432544631882612E-2</v>
      </c>
      <c r="G65" s="35">
        <f t="shared" si="2"/>
        <v>-1.9736699364448596E-2</v>
      </c>
      <c r="H65" s="35">
        <f t="shared" si="3"/>
        <v>2.0889832905392838E-2</v>
      </c>
      <c r="I65" s="36">
        <f t="shared" si="4"/>
        <v>-1.439408974768361E-2</v>
      </c>
      <c r="K65" s="49">
        <f t="shared" si="10"/>
        <v>0.16</v>
      </c>
      <c r="L65" s="64">
        <f t="array" ref="L65:N65">TRANSPOSE(Port_R($L$18:$N$20,$Q$31:$Q$33,K65))</f>
        <v>-0.10237791972974553</v>
      </c>
      <c r="M65" s="65">
        <v>0.17304024452968647</v>
      </c>
      <c r="N65" s="66">
        <v>0.92933767520005905</v>
      </c>
      <c r="O65" s="5">
        <f t="array" ref="O65">SQRT(Varianza_Port(TRANSPOSE(L65:N65),$L$18:$N$20))</f>
        <v>0.23208957844010542</v>
      </c>
      <c r="P65" s="5">
        <f t="array" ref="P65">Rendimiento_Port(TRANSPOSE(L65:N65),$Q$31:$Q$33)</f>
        <v>0.16000000000000011</v>
      </c>
    </row>
    <row r="66" spans="1:20" x14ac:dyDescent="0.3">
      <c r="A66" s="1">
        <v>60</v>
      </c>
      <c r="B66" s="27">
        <v>24938</v>
      </c>
      <c r="C66" s="4">
        <v>203.86566199999999</v>
      </c>
      <c r="D66" s="4">
        <v>242.175217</v>
      </c>
      <c r="E66">
        <v>45826.640625</v>
      </c>
      <c r="F66" s="34">
        <f t="shared" si="1"/>
        <v>-5.0735972196433991E-2</v>
      </c>
      <c r="G66" s="35">
        <f t="shared" si="2"/>
        <v>1.4441902462271674E-2</v>
      </c>
      <c r="H66" s="35">
        <f t="shared" si="3"/>
        <v>-1.4163799144797392E-2</v>
      </c>
      <c r="I66" s="36">
        <f t="shared" si="4"/>
        <v>-6.4862891602843606E-3</v>
      </c>
      <c r="K66" s="49">
        <f t="shared" si="10"/>
        <v>0.18</v>
      </c>
      <c r="L66" s="64">
        <f t="array" ref="L66:N66">TRANSPOSE(Port_R($L$18:$N$20,$Q$31:$Q$33,K66))</f>
        <v>-2.6097623231523537E-2</v>
      </c>
      <c r="M66" s="65">
        <v>0.17127708459789945</v>
      </c>
      <c r="N66" s="66">
        <v>0.85482053863362384</v>
      </c>
      <c r="O66" s="5">
        <f t="array" ref="O66">SQRT(Varianza_Port(TRANSPOSE(L66:N66),$L$18:$N$20))</f>
        <v>0.21390439706779887</v>
      </c>
      <c r="P66" s="5">
        <f t="array" ref="P66">Rendimiento_Port(TRANSPOSE(L66:N66),$Q$31:$Q$33)</f>
        <v>0.18</v>
      </c>
    </row>
    <row r="67" spans="1:20" x14ac:dyDescent="0.3">
      <c r="A67" s="1">
        <v>61</v>
      </c>
      <c r="B67" s="27">
        <v>25382.300781000002</v>
      </c>
      <c r="C67" s="4">
        <v>199.12029999999999</v>
      </c>
      <c r="D67" s="4">
        <v>240.31582599999999</v>
      </c>
      <c r="E67">
        <v>46684.058594000002</v>
      </c>
      <c r="F67" s="34">
        <f t="shared" si="1"/>
        <v>1.7659366912777027E-2</v>
      </c>
      <c r="G67" s="35">
        <f t="shared" si="2"/>
        <v>-2.3552092629730771E-2</v>
      </c>
      <c r="H67" s="35">
        <f t="shared" si="3"/>
        <v>-7.7075014420142866E-3</v>
      </c>
      <c r="I67" s="36">
        <f t="shared" si="4"/>
        <v>1.8537153619959529E-2</v>
      </c>
      <c r="K67" s="49">
        <f t="shared" si="10"/>
        <v>0.19999999999999998</v>
      </c>
      <c r="L67" s="64">
        <f t="array" ref="L67:N67">TRANSPOSE(Port_R($L$18:$N$20,$Q$31:$Q$33,K67))</f>
        <v>5.0182673266698563E-2</v>
      </c>
      <c r="M67" s="65">
        <v>0.16951392466611243</v>
      </c>
      <c r="N67" s="66">
        <v>0.78030340206718884</v>
      </c>
      <c r="O67" s="5">
        <f t="array" ref="O67">SQRT(Varianza_Port(TRANSPOSE(L67:N67),$L$18:$N$20))</f>
        <v>0.19849367846602126</v>
      </c>
      <c r="P67" s="5">
        <f t="array" ref="P67">Rendimiento_Port(TRANSPOSE(L67:N67),$Q$31:$Q$33)</f>
        <v>0.2</v>
      </c>
    </row>
    <row r="68" spans="1:20" x14ac:dyDescent="0.3">
      <c r="A68" s="1">
        <v>62</v>
      </c>
      <c r="B68" s="27">
        <v>25473.900390999999</v>
      </c>
      <c r="C68" s="4">
        <v>199.31459000000001</v>
      </c>
      <c r="D68" s="4">
        <v>239.296448</v>
      </c>
      <c r="E68">
        <v>47457.460937999997</v>
      </c>
      <c r="F68" s="34">
        <f t="shared" si="1"/>
        <v>3.6023024505640504E-3</v>
      </c>
      <c r="G68" s="35">
        <f t="shared" si="2"/>
        <v>9.752660737106498E-4</v>
      </c>
      <c r="H68" s="35">
        <f t="shared" si="3"/>
        <v>-4.2508484050533561E-3</v>
      </c>
      <c r="I68" s="36">
        <f t="shared" si="4"/>
        <v>1.6431001919026904E-2</v>
      </c>
      <c r="K68" s="49">
        <f t="shared" si="10"/>
        <v>0.21999999999999997</v>
      </c>
      <c r="L68" s="64">
        <f t="array" ref="L68:N68">TRANSPOSE(Port_R($L$18:$N$20,$Q$31:$Q$33,K68))</f>
        <v>0.12646296976492077</v>
      </c>
      <c r="M68" s="65">
        <v>0.1677507647343254</v>
      </c>
      <c r="N68" s="66">
        <v>0.70578626550075385</v>
      </c>
      <c r="O68" s="5">
        <f t="array" ref="O68">SQRT(Varianza_Port(TRANSPOSE(L68:N68),$L$18:$N$20))</f>
        <v>0.18654629542986595</v>
      </c>
      <c r="P68" s="5">
        <f t="array" ref="P68">Rendimiento_Port(TRANSPOSE(L68:N68),$Q$31:$Q$33)</f>
        <v>0.22000000000000003</v>
      </c>
    </row>
    <row r="69" spans="1:20" x14ac:dyDescent="0.3">
      <c r="A69" s="1">
        <v>63</v>
      </c>
      <c r="B69" s="27">
        <v>26419.099609000001</v>
      </c>
      <c r="C69" s="4">
        <v>199.82334900000001</v>
      </c>
      <c r="D69" s="4">
        <v>240.70282</v>
      </c>
      <c r="E69">
        <v>47951.75</v>
      </c>
      <c r="F69" s="34">
        <f t="shared" si="1"/>
        <v>3.6432804674121064E-2</v>
      </c>
      <c r="G69" s="35">
        <f t="shared" si="2"/>
        <v>2.5492904874189004E-3</v>
      </c>
      <c r="H69" s="35">
        <f t="shared" si="3"/>
        <v>5.8599090380020025E-3</v>
      </c>
      <c r="I69" s="36">
        <f t="shared" si="4"/>
        <v>1.0361546425963016E-2</v>
      </c>
      <c r="K69" s="49">
        <f t="shared" si="10"/>
        <v>0.23999999999999996</v>
      </c>
      <c r="L69" s="64">
        <f t="array" ref="L69:N69">TRANSPOSE(Port_R($L$18:$N$20,$Q$31:$Q$33,K69))</f>
        <v>0.20274326626314282</v>
      </c>
      <c r="M69" s="65">
        <v>0.16598760480253838</v>
      </c>
      <c r="N69" s="66">
        <v>0.63126912893431875</v>
      </c>
      <c r="O69" s="5">
        <f t="array" ref="O69">SQRT(Varianza_Port(TRANSPOSE(L69:N69),$L$18:$N$20))</f>
        <v>0.17875802339431462</v>
      </c>
      <c r="P69" s="5">
        <f t="array" ref="P69">Rendimiento_Port(TRANSPOSE(L69:N69),$Q$31:$Q$33)</f>
        <v>0.24</v>
      </c>
    </row>
    <row r="70" spans="1:20" ht="15" thickBot="1" x14ac:dyDescent="0.35">
      <c r="A70" s="1">
        <v>64</v>
      </c>
      <c r="B70" s="27">
        <v>25752.699218999998</v>
      </c>
      <c r="C70" s="4">
        <v>198.85206600000001</v>
      </c>
      <c r="D70" s="4">
        <v>246.913422</v>
      </c>
      <c r="E70">
        <v>47926.109375</v>
      </c>
      <c r="F70" s="34">
        <f t="shared" si="1"/>
        <v>-2.5547772956932207E-2</v>
      </c>
      <c r="G70" s="35">
        <f t="shared" si="2"/>
        <v>-4.872559907762134E-3</v>
      </c>
      <c r="H70" s="35">
        <f t="shared" si="3"/>
        <v>2.5474696414254924E-2</v>
      </c>
      <c r="I70" s="36">
        <f t="shared" si="4"/>
        <v>-5.3486020189448319E-4</v>
      </c>
      <c r="K70" s="49">
        <f>K69+2%</f>
        <v>0.25999999999999995</v>
      </c>
      <c r="L70" s="64">
        <f t="array" ref="L70:N70">TRANSPOSE(Port_R($L$18:$N$20,$Q$31:$Q$33,K70))</f>
        <v>0.27902356276136486</v>
      </c>
      <c r="M70" s="65">
        <v>0.16422444487075138</v>
      </c>
      <c r="N70" s="66">
        <v>0.55675199236788364</v>
      </c>
      <c r="O70" s="5">
        <f t="array" ref="O70">SQRT(Varianza_Port(TRANSPOSE(L70:N70),$L$18:$N$20))</f>
        <v>0.17568287383430053</v>
      </c>
      <c r="P70" s="5">
        <f t="array" ref="P70">Rendimiento_Port(TRANSPOSE(L70:N70),$Q$31:$Q$33)</f>
        <v>0.25999999999999995</v>
      </c>
    </row>
    <row r="71" spans="1:20" ht="15" thickBot="1" x14ac:dyDescent="0.35">
      <c r="A71" s="1">
        <v>65</v>
      </c>
      <c r="B71" s="27">
        <v>25831.099609000001</v>
      </c>
      <c r="C71" s="4">
        <v>200.433853</v>
      </c>
      <c r="D71" s="4">
        <v>246.875641</v>
      </c>
      <c r="E71">
        <v>48058.960937999997</v>
      </c>
      <c r="F71" s="34">
        <f t="shared" si="1"/>
        <v>3.0397315494154007E-3</v>
      </c>
      <c r="G71" s="35">
        <f t="shared" si="2"/>
        <v>7.9231207490971321E-3</v>
      </c>
      <c r="H71" s="35">
        <f t="shared" si="3"/>
        <v>-1.5302485577219449E-4</v>
      </c>
      <c r="I71" s="36">
        <f t="shared" si="4"/>
        <v>2.7681731627878484E-3</v>
      </c>
      <c r="K71" s="117">
        <f>O39</f>
        <v>0.26242025799480506</v>
      </c>
      <c r="L71" s="118">
        <f t="array" ref="L71:N71">TRANSPOSE(Port_R($L$18:$N$20,$Q$31:$Q$33,K71))</f>
        <v>0.28825446263366122</v>
      </c>
      <c r="M71" s="119">
        <v>0.1640110797747</v>
      </c>
      <c r="N71" s="120">
        <v>0.54773445759163875</v>
      </c>
      <c r="O71" s="121">
        <f t="array" ref="O71">SQRT(Varianza_Port(TRANSPOSE(L71:N71),$L$18:$N$20))</f>
        <v>0.17564629510793173</v>
      </c>
      <c r="P71" s="122">
        <f t="array" ref="P71">Rendimiento_Port(TRANSPOSE(L71:N71),$Q$31:$Q$33)</f>
        <v>0.26242025799480506</v>
      </c>
    </row>
    <row r="72" spans="1:20" x14ac:dyDescent="0.3">
      <c r="A72" s="1">
        <v>66</v>
      </c>
      <c r="B72" s="27">
        <v>26232</v>
      </c>
      <c r="C72" s="4">
        <v>202.59840399999999</v>
      </c>
      <c r="D72" s="4">
        <v>243.26068100000001</v>
      </c>
      <c r="E72">
        <v>48331.511719000002</v>
      </c>
      <c r="F72" s="34">
        <f t="shared" ref="F72:F135" si="11">LN(B72/B71)</f>
        <v>1.5400862338007259E-2</v>
      </c>
      <c r="G72" s="35">
        <f t="shared" ref="G72:G135" si="12">LN(C72/C71)</f>
        <v>1.0741432102407045E-2</v>
      </c>
      <c r="H72" s="35">
        <f t="shared" ref="H72:H135" si="13">LN(D72/D71)</f>
        <v>-1.4751102447525821E-2</v>
      </c>
      <c r="I72" s="36">
        <f t="shared" ref="I72:I135" si="14">LN(E72/E71)</f>
        <v>5.6551544950888682E-3</v>
      </c>
      <c r="K72" s="49">
        <f>K70+2%</f>
        <v>0.27999999999999997</v>
      </c>
      <c r="L72" s="64">
        <f t="array" ref="L72:N72">TRANSPOSE(Port_R($L$18:$N$20,$Q$31:$Q$33,K72))</f>
        <v>0.35530385925958707</v>
      </c>
      <c r="M72" s="65">
        <v>0.16246128493896436</v>
      </c>
      <c r="N72" s="66">
        <v>0.48223485580144854</v>
      </c>
      <c r="O72" s="5">
        <f t="array" ref="O72">SQRT(Varianza_Port(TRANSPOSE(L72:N72),$L$18:$N$20))</f>
        <v>0.17756588645096258</v>
      </c>
      <c r="P72" s="5">
        <f t="array" ref="P72">Rendimiento_Port(TRANSPOSE(L72:N72),$Q$31:$Q$33)</f>
        <v>0.27999999999999997</v>
      </c>
    </row>
    <row r="73" spans="1:20" ht="15" thickBot="1" x14ac:dyDescent="0.35">
      <c r="A73" s="1">
        <v>67</v>
      </c>
      <c r="B73" s="27">
        <v>26042.900390999999</v>
      </c>
      <c r="C73" s="4">
        <v>214.33696</v>
      </c>
      <c r="D73" s="4">
        <v>242.854782</v>
      </c>
      <c r="E73">
        <v>48532.140625</v>
      </c>
      <c r="F73" s="34">
        <f t="shared" si="11"/>
        <v>-7.2348462616518344E-3</v>
      </c>
      <c r="G73" s="35">
        <f t="shared" si="12"/>
        <v>5.6323641918407233E-2</v>
      </c>
      <c r="H73" s="35">
        <f t="shared" si="13"/>
        <v>-1.6699698949132567E-3</v>
      </c>
      <c r="I73" s="36">
        <f t="shared" si="14"/>
        <v>4.1425072883453139E-3</v>
      </c>
      <c r="K73" s="49">
        <f>K72+2%</f>
        <v>0.3</v>
      </c>
      <c r="L73" s="64">
        <f t="array" ref="L73:N73">TRANSPOSE(Port_R($L$18:$N$20,$Q$31:$Q$33,K73))</f>
        <v>0.43158415575780928</v>
      </c>
      <c r="M73" s="65">
        <v>0.16069812500717734</v>
      </c>
      <c r="N73" s="66">
        <v>0.40771771923501343</v>
      </c>
      <c r="O73" s="5">
        <f t="array" ref="O73">SQRT(Varianza_Port(TRANSPOSE(L73:N73),$L$18:$N$20))</f>
        <v>0.18425511267032571</v>
      </c>
      <c r="P73" s="5">
        <f t="array" ref="P73">Rendimiento_Port(TRANSPOSE(L73:N73),$Q$31:$Q$33)</f>
        <v>0.3</v>
      </c>
    </row>
    <row r="74" spans="1:20" ht="15" thickBot="1" x14ac:dyDescent="0.35">
      <c r="A74" s="1">
        <v>68</v>
      </c>
      <c r="B74" s="27">
        <v>26385</v>
      </c>
      <c r="C74" s="4">
        <v>217.139771</v>
      </c>
      <c r="D74" s="4">
        <v>244.32720900000001</v>
      </c>
      <c r="E74">
        <v>48782.558594000002</v>
      </c>
      <c r="F74" s="34">
        <f t="shared" si="11"/>
        <v>1.305047357693581E-2</v>
      </c>
      <c r="G74" s="35">
        <f t="shared" si="12"/>
        <v>1.2991896073361368E-2</v>
      </c>
      <c r="H74" s="35">
        <f t="shared" si="13"/>
        <v>6.0446876548137136E-3</v>
      </c>
      <c r="I74" s="36">
        <f t="shared" si="14"/>
        <v>5.1465713555847474E-3</v>
      </c>
      <c r="K74" s="111">
        <f>O45</f>
        <v>0.31600747066924406</v>
      </c>
      <c r="L74" s="112">
        <f t="array" ref="L74:N74">TRANSPOSE(Port_R($L$18:$N$20,$Q$31:$Q$33,K74))</f>
        <v>0.49263688619963586</v>
      </c>
      <c r="M74" s="113">
        <v>0.15928693846251399</v>
      </c>
      <c r="N74" s="114">
        <v>0.34807617533785012</v>
      </c>
      <c r="O74" s="115">
        <f t="array" ref="O74">SQRT(Varianza_Port(TRANSPOSE(L74:N74),$L$18:$N$20))</f>
        <v>0.19274760461492735</v>
      </c>
      <c r="P74" s="116">
        <f t="array" ref="P74">Rendimiento_Port(TRANSPOSE(L74:N74),$Q$31:$Q$33)</f>
        <v>0.31600747066924395</v>
      </c>
    </row>
    <row r="75" spans="1:20" x14ac:dyDescent="0.3">
      <c r="A75" s="1">
        <v>69</v>
      </c>
      <c r="B75" s="27">
        <v>25881</v>
      </c>
      <c r="C75" s="4">
        <v>218.49954199999999</v>
      </c>
      <c r="D75" s="4">
        <v>243.836411</v>
      </c>
      <c r="E75">
        <v>48768.300780999998</v>
      </c>
      <c r="F75" s="34">
        <f t="shared" si="11"/>
        <v>-1.9286558095079731E-2</v>
      </c>
      <c r="G75" s="35">
        <f t="shared" si="12"/>
        <v>6.2426662395979847E-3</v>
      </c>
      <c r="H75" s="35">
        <f t="shared" si="13"/>
        <v>-2.0107936981044513E-3</v>
      </c>
      <c r="I75" s="36">
        <f t="shared" si="14"/>
        <v>-2.9231547918443635E-4</v>
      </c>
      <c r="K75" s="49">
        <f>K73+2%</f>
        <v>0.32</v>
      </c>
      <c r="L75" s="64">
        <f t="array" ref="L75:N75">TRANSPOSE(Port_R($L$18:$N$20,$Q$31:$Q$33,K75))</f>
        <v>0.5078644522560315</v>
      </c>
      <c r="M75" s="65">
        <v>0.15893496507539032</v>
      </c>
      <c r="N75" s="66">
        <v>0.33320058266857822</v>
      </c>
      <c r="O75" s="5">
        <f t="array" ref="O75">SQRT(Varianza_Port(TRANSPOSE(L75:N75),$L$18:$N$20))</f>
        <v>0.19525721420934397</v>
      </c>
      <c r="P75" s="5">
        <f t="array" ref="P75">Rendimiento_Port(TRANSPOSE(L75:N75),$Q$31:$Q$33)</f>
        <v>0.31999999999999995</v>
      </c>
    </row>
    <row r="76" spans="1:20" x14ac:dyDescent="0.3">
      <c r="A76" s="1">
        <v>70</v>
      </c>
      <c r="B76" s="27">
        <v>25905.599609000001</v>
      </c>
      <c r="C76" s="4">
        <v>220.92311100000001</v>
      </c>
      <c r="D76" s="4">
        <v>248.215958</v>
      </c>
      <c r="E76">
        <v>48434.390625</v>
      </c>
      <c r="F76" s="34">
        <f t="shared" si="11"/>
        <v>9.5003769453789143E-4</v>
      </c>
      <c r="G76" s="35">
        <f t="shared" si="12"/>
        <v>1.1030808530869012E-2</v>
      </c>
      <c r="H76" s="35">
        <f t="shared" si="13"/>
        <v>1.7801611905143871E-2</v>
      </c>
      <c r="I76" s="36">
        <f t="shared" si="14"/>
        <v>-6.8704161298797431E-3</v>
      </c>
      <c r="K76" s="49">
        <f t="shared" ref="K76:K93" si="15">K75+2%</f>
        <v>0.34</v>
      </c>
      <c r="L76" s="64">
        <f t="array" ref="L76:N76">TRANSPOSE(Port_R($L$18:$N$20,$Q$31:$Q$33,K76))</f>
        <v>0.58414474875425371</v>
      </c>
      <c r="M76" s="65">
        <v>0.15717180514360329</v>
      </c>
      <c r="N76" s="66">
        <v>0.25868344610214311</v>
      </c>
      <c r="O76" s="5">
        <f t="array" ref="O76">SQRT(Varianza_Port(TRANSPOSE(L76:N76),$L$18:$N$20))</f>
        <v>0.20989507735541055</v>
      </c>
      <c r="P76" s="5">
        <f t="array" ref="P76">Rendimiento_Port(TRANSPOSE(L76:N76),$Q$31:$Q$33)</f>
        <v>0.33999999999999997</v>
      </c>
    </row>
    <row r="77" spans="1:20" x14ac:dyDescent="0.3">
      <c r="A77" s="1">
        <v>71</v>
      </c>
      <c r="B77" s="27">
        <v>27100</v>
      </c>
      <c r="C77" s="4">
        <v>221.33010899999999</v>
      </c>
      <c r="D77" s="4">
        <v>240.73112499999999</v>
      </c>
      <c r="E77">
        <v>48933.609375</v>
      </c>
      <c r="F77" s="34">
        <f t="shared" si="11"/>
        <v>4.5074581428566095E-2</v>
      </c>
      <c r="G77" s="35">
        <f t="shared" si="12"/>
        <v>1.8405659766516842E-3</v>
      </c>
      <c r="H77" s="35">
        <f t="shared" si="13"/>
        <v>-3.0618518853133807E-2</v>
      </c>
      <c r="I77" s="36">
        <f t="shared" si="14"/>
        <v>1.0254357170183585E-2</v>
      </c>
      <c r="K77" s="49">
        <f t="shared" si="15"/>
        <v>0.36000000000000004</v>
      </c>
      <c r="L77" s="64">
        <f t="array" ref="L77:N77">TRANSPOSE(Port_R($L$18:$N$20,$Q$31:$Q$33,K77))</f>
        <v>0.66042504525247581</v>
      </c>
      <c r="M77" s="65">
        <v>0.15540864521181627</v>
      </c>
      <c r="N77" s="66">
        <v>0.18416630953570789</v>
      </c>
      <c r="O77" s="5">
        <f t="array" ref="O77">SQRT(Varianza_Port(TRANSPOSE(L77:N77),$L$18:$N$20))</f>
        <v>0.22746788330855602</v>
      </c>
      <c r="P77" s="5">
        <f t="array" ref="P77">Rendimiento_Port(TRANSPOSE(L77:N77),$Q$31:$Q$33)</f>
        <v>0.35999999999999993</v>
      </c>
    </row>
    <row r="78" spans="1:20" x14ac:dyDescent="0.3">
      <c r="A78" s="1">
        <v>72</v>
      </c>
      <c r="B78" s="27">
        <v>27616.099609000001</v>
      </c>
      <c r="C78" s="4">
        <v>227.759018</v>
      </c>
      <c r="D78" s="4">
        <v>243.27954099999999</v>
      </c>
      <c r="E78">
        <v>49090.738280999998</v>
      </c>
      <c r="F78" s="34">
        <f t="shared" si="11"/>
        <v>1.8865193939622171E-2</v>
      </c>
      <c r="G78" s="35">
        <f t="shared" si="12"/>
        <v>2.8632838473334633E-2</v>
      </c>
      <c r="H78" s="35">
        <f t="shared" si="13"/>
        <v>1.0530509878441134E-2</v>
      </c>
      <c r="I78" s="36">
        <f t="shared" si="14"/>
        <v>3.2059186179167944E-3</v>
      </c>
      <c r="K78" s="49">
        <f t="shared" si="15"/>
        <v>0.38000000000000006</v>
      </c>
      <c r="L78" s="64">
        <f t="array" ref="L78:N78">TRANSPOSE(Port_R($L$18:$N$20,$Q$31:$Q$33,K78))</f>
        <v>0.73670534175069813</v>
      </c>
      <c r="M78" s="65">
        <v>0.1536454852800293</v>
      </c>
      <c r="N78" s="66">
        <v>0.10964917296927279</v>
      </c>
      <c r="O78" s="5">
        <f t="array" ref="O78">SQRT(Varianza_Port(TRANSPOSE(L78:N78),$L$18:$N$20))</f>
        <v>0.24735089047205161</v>
      </c>
      <c r="P78" s="5">
        <f t="array" ref="P78">Rendimiento_Port(TRANSPOSE(L78:N78),$Q$31:$Q$33)</f>
        <v>0.38</v>
      </c>
    </row>
    <row r="79" spans="1:20" x14ac:dyDescent="0.3">
      <c r="A79" s="1">
        <v>73</v>
      </c>
      <c r="B79" s="27">
        <v>28771.5</v>
      </c>
      <c r="C79" s="4">
        <v>229.61831699999999</v>
      </c>
      <c r="D79" s="4">
        <v>241.88262900000001</v>
      </c>
      <c r="E79">
        <v>48745.28125</v>
      </c>
      <c r="F79" s="34">
        <f t="shared" si="11"/>
        <v>4.0986392022438006E-2</v>
      </c>
      <c r="G79" s="35">
        <f t="shared" si="12"/>
        <v>8.1303077334269249E-3</v>
      </c>
      <c r="H79" s="35">
        <f t="shared" si="13"/>
        <v>-5.7585522805248604E-3</v>
      </c>
      <c r="I79" s="36">
        <f t="shared" si="14"/>
        <v>-7.0619894056496834E-3</v>
      </c>
      <c r="K79" s="49">
        <f t="shared" si="15"/>
        <v>0.40000000000000008</v>
      </c>
      <c r="L79" s="64">
        <f t="array" ref="L79:N79">TRANSPOSE(Port_R($L$18:$N$20,$Q$31:$Q$33,K79))</f>
        <v>0.81298563824892023</v>
      </c>
      <c r="M79" s="65">
        <v>0.15188232534824225</v>
      </c>
      <c r="N79" s="66">
        <v>3.5132036402837574E-2</v>
      </c>
      <c r="O79" s="5">
        <f t="array" ref="O79">SQRT(Varianza_Port(TRANSPOSE(L79:N79),$L$18:$N$20))</f>
        <v>0.2690323748907551</v>
      </c>
      <c r="P79" s="5">
        <f t="array" ref="P79">Rendimiento_Port(TRANSPOSE(L79:N79),$Q$31:$Q$33)</f>
        <v>0.39999999999999997</v>
      </c>
      <c r="Q79" s="128">
        <f>P79/O79</f>
        <v>1.4868099059171833</v>
      </c>
    </row>
    <row r="80" spans="1:20" x14ac:dyDescent="0.3">
      <c r="A80" s="1">
        <v>74</v>
      </c>
      <c r="B80" s="27">
        <v>28300</v>
      </c>
      <c r="C80" s="4">
        <v>233.947418</v>
      </c>
      <c r="D80" s="4">
        <v>236.40824900000001</v>
      </c>
      <c r="E80">
        <v>48431.578125</v>
      </c>
      <c r="F80" s="34">
        <f t="shared" si="11"/>
        <v>-1.6523509198523426E-2</v>
      </c>
      <c r="G80" s="35">
        <f t="shared" si="12"/>
        <v>1.8677941567161307E-2</v>
      </c>
      <c r="H80" s="35">
        <f t="shared" si="13"/>
        <v>-2.2892425201716058E-2</v>
      </c>
      <c r="I80" s="36">
        <f t="shared" si="14"/>
        <v>-6.4563563122121432E-3</v>
      </c>
      <c r="K80" s="49">
        <f t="shared" si="15"/>
        <v>0.4200000000000001</v>
      </c>
      <c r="L80" s="64">
        <f t="array" ref="L80:N80">TRANSPOSE(Port_R($L$18:$N$20,$Q$31:$Q$33,K80))</f>
        <v>0.88926593474714244</v>
      </c>
      <c r="M80" s="65">
        <v>0.1501191654164552</v>
      </c>
      <c r="N80" s="66">
        <v>-3.9385100163597642E-2</v>
      </c>
      <c r="O80" s="5">
        <f t="array" ref="O80">SQRT(Varianza_Port(TRANSPOSE(L80:N80),$L$18:$N$20))</f>
        <v>0.29211214473726288</v>
      </c>
      <c r="P80" s="5">
        <f t="array" ref="P80">Rendimiento_Port(TRANSPOSE(L80:N80),$Q$31:$Q$33)</f>
        <v>0.41999999999999993</v>
      </c>
      <c r="Q80" s="128">
        <f t="shared" ref="Q80:Q93" si="16">P80/O80</f>
        <v>1.4378039652468555</v>
      </c>
      <c r="S80" s="1" t="s">
        <v>56</v>
      </c>
      <c r="T80" s="4">
        <v>2000000</v>
      </c>
    </row>
    <row r="81" spans="1:22" x14ac:dyDescent="0.3">
      <c r="A81" s="1">
        <v>75</v>
      </c>
      <c r="B81" s="27">
        <v>28681.300781000002</v>
      </c>
      <c r="C81" s="4">
        <v>237.32373000000001</v>
      </c>
      <c r="D81" s="4">
        <v>237.79573099999999</v>
      </c>
      <c r="E81">
        <v>48442.21875</v>
      </c>
      <c r="F81" s="34">
        <f t="shared" si="11"/>
        <v>1.3383565039774547E-2</v>
      </c>
      <c r="G81" s="35">
        <f t="shared" si="12"/>
        <v>1.4328777736999717E-2</v>
      </c>
      <c r="H81" s="35">
        <f t="shared" si="13"/>
        <v>5.8518528647941532E-3</v>
      </c>
      <c r="I81" s="36">
        <f t="shared" si="14"/>
        <v>2.1968014852411253E-4</v>
      </c>
      <c r="K81" s="49">
        <f t="shared" si="15"/>
        <v>0.44000000000000011</v>
      </c>
      <c r="L81" s="64">
        <f t="array" ref="L81:N81">TRANSPOSE(Port_R($L$18:$N$20,$Q$31:$Q$33,K81))</f>
        <v>0.96554623124536465</v>
      </c>
      <c r="M81" s="65">
        <v>0.14835600548466826</v>
      </c>
      <c r="N81" s="66">
        <v>-0.11390223673003264</v>
      </c>
      <c r="O81" s="5">
        <f t="array" ref="O81">SQRT(Varianza_Port(TRANSPOSE(L81:N81),$L$18:$N$20))</f>
        <v>0.31628424258607707</v>
      </c>
      <c r="P81" s="5">
        <f t="array" ref="P81">Rendimiento_Port(TRANSPOSE(L81:N81),$Q$31:$Q$33)</f>
        <v>0.44000000000000006</v>
      </c>
      <c r="Q81" s="128">
        <f t="shared" si="16"/>
        <v>1.3911537179417139</v>
      </c>
    </row>
    <row r="82" spans="1:22" x14ac:dyDescent="0.3">
      <c r="A82" s="1">
        <v>76</v>
      </c>
      <c r="B82" s="27">
        <v>27485</v>
      </c>
      <c r="C82" s="4">
        <v>238.90553299999999</v>
      </c>
      <c r="D82" s="4">
        <v>241.958145</v>
      </c>
      <c r="E82">
        <v>48046.800780999998</v>
      </c>
      <c r="F82" s="34">
        <f t="shared" si="11"/>
        <v>-4.26049683763427E-2</v>
      </c>
      <c r="G82" s="35">
        <f t="shared" si="12"/>
        <v>6.6430559396412859E-3</v>
      </c>
      <c r="H82" s="35">
        <f t="shared" si="13"/>
        <v>1.735272461788356E-2</v>
      </c>
      <c r="I82" s="36">
        <f t="shared" si="14"/>
        <v>-8.1961695643444233E-3</v>
      </c>
      <c r="K82" s="49">
        <f t="shared" si="15"/>
        <v>0.46000000000000013</v>
      </c>
      <c r="L82" s="64">
        <f t="array" ref="L82:N82">TRANSPOSE(Port_R($L$18:$N$20,$Q$31:$Q$33,K82))</f>
        <v>1.041826527743587</v>
      </c>
      <c r="M82" s="65">
        <v>0.14659284555288116</v>
      </c>
      <c r="N82" s="66">
        <v>-0.18841937329646807</v>
      </c>
      <c r="O82" s="5">
        <f t="array" ref="O82">SQRT(Varianza_Port(TRANSPOSE(L82:N82),$L$18:$N$20))</f>
        <v>0.34131667078403038</v>
      </c>
      <c r="P82" s="5">
        <f t="array" ref="P82">Rendimiento_Port(TRANSPOSE(L82:N82),$Q$31:$Q$33)</f>
        <v>0.45999999999999996</v>
      </c>
      <c r="Q82" s="128">
        <f t="shared" si="16"/>
        <v>1.3477220404832408</v>
      </c>
      <c r="T82" s="7"/>
    </row>
    <row r="83" spans="1:22" ht="16.2" thickBot="1" x14ac:dyDescent="0.4">
      <c r="A83" s="1">
        <v>77</v>
      </c>
      <c r="B83" s="27">
        <v>27475</v>
      </c>
      <c r="C83" s="4">
        <v>244.31153900000001</v>
      </c>
      <c r="D83" s="4">
        <v>242.48670999999999</v>
      </c>
      <c r="E83">
        <v>48058.210937999997</v>
      </c>
      <c r="F83" s="34">
        <f t="shared" si="11"/>
        <v>-3.6390102293860227E-4</v>
      </c>
      <c r="G83" s="35">
        <f t="shared" si="12"/>
        <v>2.2375995676919693E-2</v>
      </c>
      <c r="H83" s="35">
        <f t="shared" si="13"/>
        <v>2.1821480991559518E-3</v>
      </c>
      <c r="I83" s="36">
        <f t="shared" si="14"/>
        <v>2.3745186332166604E-4</v>
      </c>
      <c r="K83" s="49">
        <f t="shared" si="15"/>
        <v>0.48000000000000015</v>
      </c>
      <c r="L83" s="64">
        <f t="array" ref="L83:N83">TRANSPOSE(Port_R($L$18:$N$20,$Q$31:$Q$33,K83))</f>
        <v>1.1181068242418095</v>
      </c>
      <c r="M83" s="65">
        <v>0.14482968562109422</v>
      </c>
      <c r="N83" s="66">
        <v>-0.26293650986290285</v>
      </c>
      <c r="O83" s="5">
        <f t="array" ref="O83">SQRT(Varianza_Port(TRANSPOSE(L83:N83),$L$18:$N$20))</f>
        <v>0.36703344267728638</v>
      </c>
      <c r="P83" s="5">
        <f t="array" ref="P83">Rendimiento_Port(TRANSPOSE(L83:N83),$Q$31:$Q$33)</f>
        <v>0.4800000000000002</v>
      </c>
      <c r="Q83" s="128">
        <f t="shared" si="16"/>
        <v>1.3077827363596388</v>
      </c>
      <c r="S83" s="43" t="s">
        <v>21</v>
      </c>
      <c r="T83" s="43" t="s">
        <v>22</v>
      </c>
      <c r="U83" s="43" t="s">
        <v>23</v>
      </c>
      <c r="V83" s="43" t="s">
        <v>58</v>
      </c>
    </row>
    <row r="84" spans="1:22" ht="15" thickTop="1" x14ac:dyDescent="0.3">
      <c r="A84" s="1">
        <v>78</v>
      </c>
      <c r="B84" s="27">
        <v>28507.599609000001</v>
      </c>
      <c r="C84" s="4">
        <v>243.948624</v>
      </c>
      <c r="D84" s="4">
        <v>248.093231</v>
      </c>
      <c r="E84">
        <v>48297.710937999997</v>
      </c>
      <c r="F84" s="34">
        <f t="shared" si="11"/>
        <v>3.6894204386709872E-2</v>
      </c>
      <c r="G84" s="35">
        <f t="shared" si="12"/>
        <v>-1.4865643127761681E-3</v>
      </c>
      <c r="H84" s="35">
        <f t="shared" si="13"/>
        <v>2.2857702220045691E-2</v>
      </c>
      <c r="I84" s="36">
        <f t="shared" si="14"/>
        <v>4.9711629250464781E-3</v>
      </c>
      <c r="K84" s="70">
        <f t="shared" si="15"/>
        <v>0.50000000000000011</v>
      </c>
      <c r="L84" s="71">
        <f t="array" ref="L84:N84">TRANSPOSE(Port_R($L$18:$N$20,$Q$31:$Q$33,K84))</f>
        <v>1.1943871207400312</v>
      </c>
      <c r="M84" s="72">
        <v>0.14306652568930722</v>
      </c>
      <c r="N84" s="73">
        <v>-0.33745364642933784</v>
      </c>
      <c r="O84" s="74">
        <f t="array" ref="O84">SQRT(Varianza_Port(TRANSPOSE(L84:N84),$L$18:$N$20))</f>
        <v>0.39330033940182196</v>
      </c>
      <c r="P84" s="74">
        <f t="array" ref="P84">Rendimiento_Port(TRANSPOSE(L84:N84),$Q$31:$Q$33)</f>
        <v>0.5</v>
      </c>
      <c r="Q84" s="128">
        <f t="shared" si="16"/>
        <v>1.271293080398709</v>
      </c>
      <c r="R84" s="31" t="s">
        <v>30</v>
      </c>
      <c r="S84" s="7">
        <f>$T$80*L84</f>
        <v>2388774.2414800623</v>
      </c>
      <c r="T84" s="7">
        <f>$T$80*M84</f>
        <v>286133.05137861444</v>
      </c>
      <c r="U84" s="7">
        <f>$T$80*N84</f>
        <v>-674907.2928586757</v>
      </c>
      <c r="V84" s="7">
        <f>SUM(S84:U84)</f>
        <v>2000000.0000000009</v>
      </c>
    </row>
    <row r="85" spans="1:22" x14ac:dyDescent="0.3">
      <c r="A85" s="1">
        <v>79</v>
      </c>
      <c r="B85" s="27">
        <v>29344.099609000001</v>
      </c>
      <c r="C85" s="4">
        <v>244.43249499999999</v>
      </c>
      <c r="D85" s="4">
        <v>250.301849</v>
      </c>
      <c r="E85">
        <v>48284.609375</v>
      </c>
      <c r="F85" s="34">
        <f t="shared" si="11"/>
        <v>2.8920785918888338E-2</v>
      </c>
      <c r="G85" s="35">
        <f t="shared" si="12"/>
        <v>1.9815309785765965E-3</v>
      </c>
      <c r="H85" s="35">
        <f t="shared" si="13"/>
        <v>8.8629785738099758E-3</v>
      </c>
      <c r="I85" s="36">
        <f t="shared" si="14"/>
        <v>-2.7130354785226516E-4</v>
      </c>
      <c r="K85" s="49">
        <f t="shared" si="15"/>
        <v>0.52000000000000013</v>
      </c>
      <c r="L85" s="64">
        <f t="array" ref="L85:N85">TRANSPOSE(Port_R($L$18:$N$20,$Q$31:$Q$33,K85))</f>
        <v>1.270667417238253</v>
      </c>
      <c r="M85" s="65">
        <v>0.14130336575752012</v>
      </c>
      <c r="N85" s="66">
        <v>-0.41197078299577305</v>
      </c>
      <c r="O85" s="5">
        <f t="array" ref="O85">SQRT(Varianza_Port(TRANSPOSE(L85:N85),$L$18:$N$20))</f>
        <v>0.42001416231507804</v>
      </c>
      <c r="P85" s="5">
        <f t="array" ref="P85">Rendimiento_Port(TRANSPOSE(L85:N85),$Q$31:$Q$33)</f>
        <v>0.5199999999999998</v>
      </c>
      <c r="Q85" s="128">
        <f t="shared" si="16"/>
        <v>1.2380534911818433</v>
      </c>
      <c r="R85" s="31" t="s">
        <v>59</v>
      </c>
      <c r="S85" s="62">
        <f>ROUNDUP(S84/B2,0)</f>
        <v>33</v>
      </c>
      <c r="T85" s="62">
        <f>ROUNDUP(T84/C2,0)</f>
        <v>907</v>
      </c>
      <c r="U85" s="62">
        <f>ROUNDUP(U84/D2,0)</f>
        <v>-1893</v>
      </c>
    </row>
    <row r="86" spans="1:22" ht="15" thickBot="1" x14ac:dyDescent="0.35">
      <c r="A86" s="1">
        <v>80</v>
      </c>
      <c r="B86" s="27">
        <v>29459.800781000002</v>
      </c>
      <c r="C86" s="4">
        <v>250.247894</v>
      </c>
      <c r="D86" s="4">
        <v>249.37687700000001</v>
      </c>
      <c r="E86">
        <v>48358.160155999998</v>
      </c>
      <c r="F86" s="34">
        <f t="shared" si="11"/>
        <v>3.9351580605997459E-3</v>
      </c>
      <c r="G86" s="35">
        <f t="shared" si="12"/>
        <v>2.3512825851090467E-2</v>
      </c>
      <c r="H86" s="35">
        <f t="shared" si="13"/>
        <v>-3.7022711130370264E-3</v>
      </c>
      <c r="I86" s="36">
        <f t="shared" si="14"/>
        <v>1.5221168755279197E-3</v>
      </c>
      <c r="K86" s="49">
        <f t="shared" si="15"/>
        <v>0.54000000000000015</v>
      </c>
      <c r="L86" s="64">
        <f t="array" ref="L86:N86">TRANSPOSE(Port_R($L$18:$N$20,$Q$31:$Q$33,K86))</f>
        <v>1.3469477137364756</v>
      </c>
      <c r="M86" s="65">
        <v>0.13954020582573312</v>
      </c>
      <c r="N86" s="66">
        <v>-0.48648791956220827</v>
      </c>
      <c r="O86" s="5">
        <f t="array" ref="O86">SQRT(Varianza_Port(TRANSPOSE(L86:N86),$L$18:$N$20))</f>
        <v>0.44709480734905238</v>
      </c>
      <c r="P86" s="5">
        <f t="array" ref="P86">Rendimiento_Port(TRANSPOSE(L86:N86),$Q$31:$Q$33)</f>
        <v>0.54</v>
      </c>
      <c r="Q86" s="128">
        <f t="shared" si="16"/>
        <v>1.2077975210712197</v>
      </c>
      <c r="R86" s="25" t="s">
        <v>57</v>
      </c>
      <c r="S86" s="75">
        <f>S85*B2</f>
        <v>2438700</v>
      </c>
      <c r="T86" s="75">
        <f>T85*C2</f>
        <v>286314.61193300004</v>
      </c>
      <c r="U86" s="75">
        <f>U85*D2</f>
        <v>-674987.02325099998</v>
      </c>
      <c r="V86" s="75">
        <f>SUM(S86:U86)</f>
        <v>2050027.5886820001</v>
      </c>
    </row>
    <row r="87" spans="1:22" ht="15" thickTop="1" x14ac:dyDescent="0.3">
      <c r="A87" s="1">
        <v>81</v>
      </c>
      <c r="B87" s="27">
        <v>30000</v>
      </c>
      <c r="C87" s="4">
        <v>251.206299</v>
      </c>
      <c r="D87" s="4">
        <v>256.34252900000001</v>
      </c>
      <c r="E87">
        <v>47809.980469000002</v>
      </c>
      <c r="F87" s="34">
        <f t="shared" si="11"/>
        <v>1.8170733006272477E-2</v>
      </c>
      <c r="G87" s="35">
        <f t="shared" si="12"/>
        <v>3.8225073410945534E-3</v>
      </c>
      <c r="H87" s="35">
        <f t="shared" si="13"/>
        <v>2.7549239623397111E-2</v>
      </c>
      <c r="I87" s="36">
        <f t="shared" si="14"/>
        <v>-1.1400566150081521E-2</v>
      </c>
      <c r="K87" s="49">
        <f t="shared" si="15"/>
        <v>0.56000000000000016</v>
      </c>
      <c r="L87" s="64">
        <f t="array" ref="L87:N87">TRANSPOSE(Port_R($L$18:$N$20,$Q$31:$Q$33,K87))</f>
        <v>1.4232280102346977</v>
      </c>
      <c r="M87" s="65">
        <v>0.13777704589394613</v>
      </c>
      <c r="N87" s="66">
        <v>-0.56100505612864326</v>
      </c>
      <c r="O87" s="5">
        <f t="array" ref="O87">SQRT(Varianza_Port(TRANSPOSE(L87:N87),$L$18:$N$20))</f>
        <v>0.4744794701705613</v>
      </c>
      <c r="P87" s="5">
        <f t="array" ref="P87">Rendimiento_Port(TRANSPOSE(L87:N87),$Q$31:$Q$33)</f>
        <v>0.56000000000000005</v>
      </c>
      <c r="Q87" s="128">
        <f t="shared" si="16"/>
        <v>1.1802407379157978</v>
      </c>
    </row>
    <row r="88" spans="1:22" x14ac:dyDescent="0.3">
      <c r="A88" s="1">
        <v>82</v>
      </c>
      <c r="B88" s="27">
        <v>29999.900390999999</v>
      </c>
      <c r="C88" s="4">
        <v>249.53143299999999</v>
      </c>
      <c r="D88" s="4">
        <v>258.68335000000002</v>
      </c>
      <c r="E88">
        <v>47094.128905999998</v>
      </c>
      <c r="F88" s="34">
        <f t="shared" si="11"/>
        <v>-3.3203055122619241E-6</v>
      </c>
      <c r="G88" s="35">
        <f t="shared" si="12"/>
        <v>-6.6896186924022272E-3</v>
      </c>
      <c r="H88" s="35">
        <f t="shared" si="13"/>
        <v>9.0901728016788263E-3</v>
      </c>
      <c r="I88" s="36">
        <f t="shared" si="14"/>
        <v>-1.5086072549641581E-2</v>
      </c>
      <c r="K88" s="49">
        <f t="shared" si="15"/>
        <v>0.58000000000000018</v>
      </c>
      <c r="L88" s="64">
        <f t="array" ref="L88:N88">TRANSPOSE(Port_R($L$18:$N$20,$Q$31:$Q$33,K88))</f>
        <v>1.4995083067329198</v>
      </c>
      <c r="M88" s="65">
        <v>0.13601388596215913</v>
      </c>
      <c r="N88" s="66">
        <v>-0.63552219269507892</v>
      </c>
      <c r="O88" s="5">
        <f t="array" ref="O88">SQRT(Varianza_Port(TRANSPOSE(L88:N88),$L$18:$N$20))</f>
        <v>0.50211841144274705</v>
      </c>
      <c r="P88" s="5">
        <f t="array" ref="P88">Rendimiento_Port(TRANSPOSE(L88:N88),$Q$31:$Q$33)</f>
        <v>0.57999999999999985</v>
      </c>
      <c r="Q88" s="128">
        <f t="shared" si="16"/>
        <v>1.1551060203776915</v>
      </c>
    </row>
    <row r="89" spans="1:22" x14ac:dyDescent="0.3">
      <c r="A89" s="1">
        <v>83</v>
      </c>
      <c r="B89" s="27">
        <v>30464</v>
      </c>
      <c r="C89" s="4">
        <v>250.48049900000001</v>
      </c>
      <c r="D89" s="4">
        <v>255.323196</v>
      </c>
      <c r="E89">
        <v>46992.171875</v>
      </c>
      <c r="F89" s="34">
        <f t="shared" si="11"/>
        <v>1.5351597252311614E-2</v>
      </c>
      <c r="G89" s="35">
        <f t="shared" si="12"/>
        <v>3.7961779669941791E-3</v>
      </c>
      <c r="H89" s="35">
        <f t="shared" si="13"/>
        <v>-1.3074548923467218E-2</v>
      </c>
      <c r="I89" s="36">
        <f t="shared" si="14"/>
        <v>-2.1673095883949695E-3</v>
      </c>
      <c r="K89" s="49">
        <f t="shared" si="15"/>
        <v>0.6000000000000002</v>
      </c>
      <c r="L89" s="64">
        <f t="array" ref="L89:N89">TRANSPOSE(Port_R($L$18:$N$20,$Q$31:$Q$33,K89))</f>
        <v>1.5757886032311417</v>
      </c>
      <c r="M89" s="65">
        <v>0.13425072603037203</v>
      </c>
      <c r="N89" s="66">
        <v>-0.7100393292615137</v>
      </c>
      <c r="O89" s="5">
        <f t="array" ref="O89">SQRT(Varianza_Port(TRANSPOSE(L89:N89),$L$18:$N$20))</f>
        <v>0.52997184948621556</v>
      </c>
      <c r="P89" s="5">
        <f t="array" ref="P89">Rendimiento_Port(TRANSPOSE(L89:N89),$Q$31:$Q$33)</f>
        <v>0.59999999999999976</v>
      </c>
      <c r="Q89" s="128">
        <f t="shared" si="16"/>
        <v>1.132135604148925</v>
      </c>
    </row>
    <row r="90" spans="1:22" x14ac:dyDescent="0.3">
      <c r="A90" s="1">
        <v>84</v>
      </c>
      <c r="B90" s="27">
        <v>31116.599609000001</v>
      </c>
      <c r="C90" s="4">
        <v>251.59703099999999</v>
      </c>
      <c r="D90" s="4">
        <v>256.210419</v>
      </c>
      <c r="E90">
        <v>46474.699219000002</v>
      </c>
      <c r="F90" s="34">
        <f t="shared" si="11"/>
        <v>2.1195767668173614E-2</v>
      </c>
      <c r="G90" s="35">
        <f t="shared" si="12"/>
        <v>4.4476550885217264E-3</v>
      </c>
      <c r="H90" s="35">
        <f t="shared" si="13"/>
        <v>3.4688781485894223E-3</v>
      </c>
      <c r="I90" s="36">
        <f t="shared" si="14"/>
        <v>-1.1072970288575516E-2</v>
      </c>
      <c r="K90" s="49">
        <f t="shared" si="15"/>
        <v>0.62000000000000022</v>
      </c>
      <c r="L90" s="64">
        <f t="array" ref="L90:N90">TRANSPOSE(Port_R($L$18:$N$20,$Q$31:$Q$33,K90))</f>
        <v>1.6520688997293642</v>
      </c>
      <c r="M90" s="65">
        <v>0.13248756609858514</v>
      </c>
      <c r="N90" s="66">
        <v>-0.78455646582794891</v>
      </c>
      <c r="O90" s="5">
        <f t="array" ref="O90">SQRT(Varianza_Port(TRANSPOSE(L90:N90),$L$18:$N$20))</f>
        <v>0.55800766484654418</v>
      </c>
      <c r="P90" s="5">
        <f t="array" ref="P90">Rendimiento_Port(TRANSPOSE(L90:N90),$Q$31:$Q$33)</f>
        <v>0.62</v>
      </c>
      <c r="Q90" s="128">
        <f t="shared" si="16"/>
        <v>1.1110958487828373</v>
      </c>
      <c r="S90" s="62"/>
    </row>
    <row r="91" spans="1:22" x14ac:dyDescent="0.3">
      <c r="A91" s="1">
        <v>85</v>
      </c>
      <c r="B91" s="27">
        <v>31131.400390999999</v>
      </c>
      <c r="C91" s="4">
        <v>258.333618</v>
      </c>
      <c r="D91" s="4">
        <v>255.19103999999999</v>
      </c>
      <c r="E91">
        <v>46719.511719000002</v>
      </c>
      <c r="F91" s="34">
        <f t="shared" si="11"/>
        <v>4.7554241996266097E-4</v>
      </c>
      <c r="G91" s="35">
        <f t="shared" si="12"/>
        <v>2.642311834040233E-2</v>
      </c>
      <c r="H91" s="35">
        <f t="shared" si="13"/>
        <v>-3.9866149466365576E-3</v>
      </c>
      <c r="I91" s="36">
        <f t="shared" si="14"/>
        <v>5.2538255468699132E-3</v>
      </c>
      <c r="K91" s="49">
        <f t="shared" si="15"/>
        <v>0.64000000000000024</v>
      </c>
      <c r="L91" s="64">
        <f t="array" ref="L91:N91">TRANSPOSE(Port_R($L$18:$N$20,$Q$31:$Q$33,K91))</f>
        <v>1.7283491962275865</v>
      </c>
      <c r="M91" s="65">
        <v>0.13072440616679804</v>
      </c>
      <c r="N91" s="66">
        <v>-0.85907360239438413</v>
      </c>
      <c r="O91" s="5">
        <f t="array" ref="O91">SQRT(Varianza_Port(TRANSPOSE(L91:N91),$L$18:$N$20))</f>
        <v>0.58619969076138834</v>
      </c>
      <c r="P91" s="5">
        <f t="array" ref="P91">Rendimiento_Port(TRANSPOSE(L91:N91),$Q$31:$Q$33)</f>
        <v>0.64</v>
      </c>
      <c r="Q91" s="128">
        <f t="shared" si="16"/>
        <v>1.0917781262708155</v>
      </c>
    </row>
    <row r="92" spans="1:22" x14ac:dyDescent="0.3">
      <c r="A92" s="1">
        <v>86</v>
      </c>
      <c r="B92" s="27">
        <v>31420</v>
      </c>
      <c r="C92" s="4">
        <v>256.17495700000001</v>
      </c>
      <c r="D92" s="4">
        <v>257.80551100000002</v>
      </c>
      <c r="E92">
        <v>46294.429687999997</v>
      </c>
      <c r="F92" s="34">
        <f t="shared" si="11"/>
        <v>9.2276641303840161E-3</v>
      </c>
      <c r="G92" s="35">
        <f t="shared" si="12"/>
        <v>-8.3912057883525053E-3</v>
      </c>
      <c r="H92" s="35">
        <f t="shared" si="13"/>
        <v>1.0193026176658033E-2</v>
      </c>
      <c r="I92" s="36">
        <f t="shared" si="14"/>
        <v>-9.1402425053276354E-3</v>
      </c>
      <c r="K92" s="49">
        <f t="shared" si="15"/>
        <v>0.66000000000000025</v>
      </c>
      <c r="L92" s="64">
        <f t="array" ref="L92:N92">TRANSPOSE(Port_R($L$18:$N$20,$Q$31:$Q$33,K92))</f>
        <v>1.8046294927258084</v>
      </c>
      <c r="M92" s="65">
        <v>0.12896124623501115</v>
      </c>
      <c r="N92" s="66">
        <v>-0.9335907389608189</v>
      </c>
      <c r="O92" s="5">
        <f t="array" ref="O92">SQRT(Varianza_Port(TRANSPOSE(L92:N92),$L$18:$N$20))</f>
        <v>0.61452642865185392</v>
      </c>
      <c r="P92" s="5">
        <f t="array" ref="P92">Rendimiento_Port(TRANSPOSE(L92:N92),$Q$31:$Q$33)</f>
        <v>0.65999999999999992</v>
      </c>
      <c r="Q92" s="128">
        <f t="shared" si="16"/>
        <v>1.0739977472537767</v>
      </c>
    </row>
    <row r="93" spans="1:22" ht="15" thickBot="1" x14ac:dyDescent="0.35">
      <c r="A93" s="1">
        <v>87</v>
      </c>
      <c r="B93" s="27">
        <v>30946</v>
      </c>
      <c r="C93" s="4">
        <v>259.00351000000001</v>
      </c>
      <c r="D93" s="4">
        <v>264.072723</v>
      </c>
      <c r="E93">
        <v>46551.550780999998</v>
      </c>
      <c r="F93" s="34">
        <f t="shared" si="11"/>
        <v>-1.5200882759994193E-2</v>
      </c>
      <c r="G93" s="35">
        <f t="shared" si="12"/>
        <v>1.098097689949914E-2</v>
      </c>
      <c r="H93" s="35">
        <f t="shared" si="13"/>
        <v>2.4019063808575762E-2</v>
      </c>
      <c r="I93" s="36">
        <f t="shared" si="14"/>
        <v>5.5386727353678496E-3</v>
      </c>
      <c r="K93" s="49">
        <f t="shared" si="15"/>
        <v>0.68000000000000027</v>
      </c>
      <c r="L93" s="67">
        <f t="array" ref="L93:N93">TRANSPOSE(Port_R($L$18:$N$20,$Q$31:$Q$33,K93))</f>
        <v>1.8809097892240307</v>
      </c>
      <c r="M93" s="68">
        <v>0.12719808630322404</v>
      </c>
      <c r="N93" s="69">
        <v>-1.0081078755272541</v>
      </c>
      <c r="O93" s="5">
        <f t="array" ref="O93">SQRT(Varianza_Port(TRANSPOSE(L93:N93),$L$18:$N$20))</f>
        <v>0.64297007412169505</v>
      </c>
      <c r="P93" s="5">
        <f t="array" ref="P93">Rendimiento_Port(TRANSPOSE(L93:N93),$Q$31:$Q$33)</f>
        <v>0.67999999999999994</v>
      </c>
      <c r="Q93" s="128">
        <f t="shared" si="16"/>
        <v>1.0575919896876822</v>
      </c>
    </row>
    <row r="94" spans="1:22" x14ac:dyDescent="0.3">
      <c r="A94" s="1">
        <v>88</v>
      </c>
      <c r="B94" s="27">
        <v>31020</v>
      </c>
      <c r="C94" s="4">
        <v>265.35861199999999</v>
      </c>
      <c r="D94" s="4">
        <v>264.19543499999997</v>
      </c>
      <c r="E94">
        <v>46728.921875</v>
      </c>
      <c r="F94" s="34">
        <f t="shared" si="11"/>
        <v>2.3884076809118156E-3</v>
      </c>
      <c r="G94" s="35">
        <f t="shared" si="12"/>
        <v>2.4240550263769006E-2</v>
      </c>
      <c r="H94" s="35">
        <f t="shared" si="13"/>
        <v>4.6458224047319973E-4</v>
      </c>
      <c r="I94" s="36">
        <f t="shared" si="14"/>
        <v>3.8029676033933466E-3</v>
      </c>
    </row>
    <row r="95" spans="1:22" x14ac:dyDescent="0.3">
      <c r="A95" s="1">
        <v>89</v>
      </c>
      <c r="B95" s="27">
        <v>31445</v>
      </c>
      <c r="C95" s="4">
        <v>268.60589599999997</v>
      </c>
      <c r="D95" s="4">
        <v>268.150238</v>
      </c>
      <c r="E95">
        <v>46519.289062999997</v>
      </c>
      <c r="F95" s="34">
        <f t="shared" si="11"/>
        <v>1.3607830247073847E-2</v>
      </c>
      <c r="G95" s="35">
        <f t="shared" si="12"/>
        <v>1.2163070709482695E-2</v>
      </c>
      <c r="H95" s="35">
        <f t="shared" si="13"/>
        <v>1.4858299629358751E-2</v>
      </c>
      <c r="I95" s="36">
        <f t="shared" si="14"/>
        <v>-4.4962399397391129E-3</v>
      </c>
    </row>
    <row r="96" spans="1:22" x14ac:dyDescent="0.3">
      <c r="A96" s="1">
        <v>90</v>
      </c>
      <c r="B96" s="27">
        <v>30950.699218999998</v>
      </c>
      <c r="C96" s="4">
        <v>274.83999599999999</v>
      </c>
      <c r="D96" s="4">
        <v>266.66836499999999</v>
      </c>
      <c r="E96">
        <v>46258.960937999997</v>
      </c>
      <c r="F96" s="34">
        <f t="shared" si="11"/>
        <v>-1.5844397229909126E-2</v>
      </c>
      <c r="G96" s="35">
        <f t="shared" si="12"/>
        <v>2.2943860904440404E-2</v>
      </c>
      <c r="H96" s="35">
        <f t="shared" si="13"/>
        <v>-5.5416052619343776E-3</v>
      </c>
      <c r="I96" s="36">
        <f t="shared" si="14"/>
        <v>-5.6118499368820515E-3</v>
      </c>
    </row>
    <row r="97" spans="1:9" x14ac:dyDescent="0.3">
      <c r="A97" s="1">
        <v>91</v>
      </c>
      <c r="B97" s="27">
        <v>31031.099609000001</v>
      </c>
      <c r="C97" s="4">
        <v>281.57653800000003</v>
      </c>
      <c r="D97" s="4">
        <v>273.96438599999999</v>
      </c>
      <c r="E97">
        <v>46419.769530999998</v>
      </c>
      <c r="F97" s="34">
        <f t="shared" si="11"/>
        <v>2.5943240310851933E-3</v>
      </c>
      <c r="G97" s="35">
        <f t="shared" si="12"/>
        <v>2.4215208442536815E-2</v>
      </c>
      <c r="H97" s="35">
        <f t="shared" si="13"/>
        <v>2.6992312108457667E-2</v>
      </c>
      <c r="I97" s="36">
        <f t="shared" si="14"/>
        <v>3.4702407675476121E-3</v>
      </c>
    </row>
    <row r="98" spans="1:9" x14ac:dyDescent="0.3">
      <c r="A98" s="1">
        <v>92</v>
      </c>
      <c r="B98" s="27">
        <v>31150</v>
      </c>
      <c r="C98" s="4">
        <v>295.61721799999998</v>
      </c>
      <c r="D98" s="4">
        <v>271.39709499999998</v>
      </c>
      <c r="E98">
        <v>45787.898437999997</v>
      </c>
      <c r="F98" s="34">
        <f t="shared" si="11"/>
        <v>3.8243304368195748E-3</v>
      </c>
      <c r="G98" s="35">
        <f t="shared" si="12"/>
        <v>4.8661130958164621E-2</v>
      </c>
      <c r="H98" s="35">
        <f t="shared" si="13"/>
        <v>-9.4150762528021435E-3</v>
      </c>
      <c r="I98" s="36">
        <f t="shared" si="14"/>
        <v>-1.3705606007989988E-2</v>
      </c>
    </row>
    <row r="99" spans="1:9" x14ac:dyDescent="0.3">
      <c r="A99" s="1">
        <v>93</v>
      </c>
      <c r="B99" s="27">
        <v>31399.300781000002</v>
      </c>
      <c r="C99" s="4">
        <v>293.05844100000002</v>
      </c>
      <c r="D99" s="4">
        <v>270.22671500000001</v>
      </c>
      <c r="E99">
        <v>45666.769530999998</v>
      </c>
      <c r="F99" s="34">
        <f t="shared" si="11"/>
        <v>7.971379311788299E-3</v>
      </c>
      <c r="G99" s="35">
        <f t="shared" si="12"/>
        <v>-8.6933885436730803E-3</v>
      </c>
      <c r="H99" s="35">
        <f t="shared" si="13"/>
        <v>-4.3217517400160948E-3</v>
      </c>
      <c r="I99" s="36">
        <f t="shared" si="14"/>
        <v>-2.6489403005654287E-3</v>
      </c>
    </row>
    <row r="100" spans="1:9" x14ac:dyDescent="0.3">
      <c r="A100" s="1">
        <v>94</v>
      </c>
      <c r="B100" s="27">
        <v>31468.800781000002</v>
      </c>
      <c r="C100" s="4">
        <v>265.72146600000002</v>
      </c>
      <c r="D100" s="4">
        <v>268.35788000000002</v>
      </c>
      <c r="E100">
        <v>45305.019530999998</v>
      </c>
      <c r="F100" s="34">
        <f t="shared" si="11"/>
        <v>2.210979068410673E-3</v>
      </c>
      <c r="G100" s="35">
        <f t="shared" si="12"/>
        <v>-9.7923406598505625E-2</v>
      </c>
      <c r="H100" s="35">
        <f t="shared" si="13"/>
        <v>-6.9398290177342774E-3</v>
      </c>
      <c r="I100" s="36">
        <f t="shared" si="14"/>
        <v>-7.9530568868768532E-3</v>
      </c>
    </row>
    <row r="101" spans="1:9" x14ac:dyDescent="0.3">
      <c r="A101" s="1">
        <v>95</v>
      </c>
      <c r="B101" s="27">
        <v>31312.400390999999</v>
      </c>
      <c r="C101" s="4">
        <v>267.86154199999999</v>
      </c>
      <c r="D101" s="4">
        <v>268.96191399999998</v>
      </c>
      <c r="E101">
        <v>45600.871094000002</v>
      </c>
      <c r="F101" s="34">
        <f t="shared" si="11"/>
        <v>-4.9824058993856342E-3</v>
      </c>
      <c r="G101" s="35">
        <f t="shared" si="12"/>
        <v>8.0215728135252587E-3</v>
      </c>
      <c r="H101" s="35">
        <f t="shared" si="13"/>
        <v>2.2483231073637737E-3</v>
      </c>
      <c r="I101" s="36">
        <f t="shared" si="14"/>
        <v>6.5089865022271483E-3</v>
      </c>
    </row>
    <row r="102" spans="1:9" x14ac:dyDescent="0.3">
      <c r="A102" s="1">
        <v>96</v>
      </c>
      <c r="B102" s="27">
        <v>31290.699218999998</v>
      </c>
      <c r="C102" s="4">
        <v>269.89926100000002</v>
      </c>
      <c r="D102" s="4">
        <v>266.18701199999998</v>
      </c>
      <c r="E102">
        <v>45776.691405999998</v>
      </c>
      <c r="F102" s="34">
        <f t="shared" si="11"/>
        <v>-6.9329387855963074E-4</v>
      </c>
      <c r="G102" s="35">
        <f t="shared" si="12"/>
        <v>7.5785692880795995E-3</v>
      </c>
      <c r="H102" s="35">
        <f t="shared" si="13"/>
        <v>-1.0370671547255059E-2</v>
      </c>
      <c r="I102" s="36">
        <f t="shared" si="14"/>
        <v>3.8482210329041058E-3</v>
      </c>
    </row>
    <row r="103" spans="1:9" x14ac:dyDescent="0.3">
      <c r="A103" s="1">
        <v>97</v>
      </c>
      <c r="B103" s="27">
        <v>31523.5</v>
      </c>
      <c r="C103" s="4">
        <v>270.30865499999999</v>
      </c>
      <c r="D103" s="4">
        <v>266.93264799999997</v>
      </c>
      <c r="E103">
        <v>45433.089844000002</v>
      </c>
      <c r="F103" s="34">
        <f t="shared" si="11"/>
        <v>7.4123955985477613E-3</v>
      </c>
      <c r="G103" s="35">
        <f t="shared" si="12"/>
        <v>1.5156907784951337E-3</v>
      </c>
      <c r="H103" s="35">
        <f t="shared" si="13"/>
        <v>2.7972575094865441E-3</v>
      </c>
      <c r="I103" s="36">
        <f t="shared" si="14"/>
        <v>-7.5343495556901389E-3</v>
      </c>
    </row>
    <row r="104" spans="1:9" x14ac:dyDescent="0.3">
      <c r="A104" s="1">
        <v>98</v>
      </c>
      <c r="B104" s="27">
        <v>31465</v>
      </c>
      <c r="C104" s="4">
        <v>265.06082199999997</v>
      </c>
      <c r="D104" s="4">
        <v>265.60180700000001</v>
      </c>
      <c r="E104">
        <v>45091.988280999998</v>
      </c>
      <c r="F104" s="34">
        <f t="shared" si="11"/>
        <v>-1.857482455366437E-3</v>
      </c>
      <c r="G104" s="35">
        <f t="shared" si="12"/>
        <v>-1.9605156115214451E-2</v>
      </c>
      <c r="H104" s="35">
        <f t="shared" si="13"/>
        <v>-4.9981508540469753E-3</v>
      </c>
      <c r="I104" s="36">
        <f t="shared" si="14"/>
        <v>-7.5361034623307671E-3</v>
      </c>
    </row>
    <row r="105" spans="1:9" x14ac:dyDescent="0.3">
      <c r="A105" s="1">
        <v>99</v>
      </c>
      <c r="B105" s="27">
        <v>31559</v>
      </c>
      <c r="C105" s="4">
        <v>265.37716699999999</v>
      </c>
      <c r="D105" s="4">
        <v>268.69766199999998</v>
      </c>
      <c r="E105">
        <v>44851.050780999998</v>
      </c>
      <c r="F105" s="34">
        <f t="shared" si="11"/>
        <v>2.9829928187013778E-3</v>
      </c>
      <c r="G105" s="35">
        <f t="shared" si="12"/>
        <v>1.1927691608276546E-3</v>
      </c>
      <c r="H105" s="35">
        <f t="shared" si="13"/>
        <v>1.1588593386896483E-2</v>
      </c>
      <c r="I105" s="36">
        <f t="shared" si="14"/>
        <v>-5.3575702761675644E-3</v>
      </c>
    </row>
    <row r="106" spans="1:9" x14ac:dyDescent="0.3">
      <c r="A106" s="1">
        <v>100</v>
      </c>
      <c r="B106" s="27">
        <v>31912</v>
      </c>
      <c r="C106" s="4">
        <v>269.51776100000001</v>
      </c>
      <c r="D106" s="4">
        <v>273.67181399999998</v>
      </c>
      <c r="E106">
        <v>44647.371094000002</v>
      </c>
      <c r="F106" s="34">
        <f t="shared" si="11"/>
        <v>1.1123304805507321E-2</v>
      </c>
      <c r="G106" s="35">
        <f t="shared" si="12"/>
        <v>1.5482205909367351E-2</v>
      </c>
      <c r="H106" s="35">
        <f t="shared" si="13"/>
        <v>1.8342814947341451E-2</v>
      </c>
      <c r="I106" s="36">
        <f t="shared" si="14"/>
        <v>-4.5515894999756581E-3</v>
      </c>
    </row>
    <row r="107" spans="1:9" x14ac:dyDescent="0.3">
      <c r="A107" s="1">
        <v>101</v>
      </c>
      <c r="B107" s="27">
        <v>32121.300781000002</v>
      </c>
      <c r="C107" s="4">
        <v>265.17248499999999</v>
      </c>
      <c r="D107" s="4">
        <v>273.70953400000002</v>
      </c>
      <c r="E107">
        <v>44715.878905999998</v>
      </c>
      <c r="F107" s="34">
        <f t="shared" si="11"/>
        <v>6.5372711959253461E-3</v>
      </c>
      <c r="G107" s="35">
        <f t="shared" si="12"/>
        <v>-1.6253790658817602E-2</v>
      </c>
      <c r="H107" s="35">
        <f t="shared" si="13"/>
        <v>1.3781982231433559E-4</v>
      </c>
      <c r="I107" s="36">
        <f t="shared" si="14"/>
        <v>1.5332438204941564E-3</v>
      </c>
    </row>
    <row r="108" spans="1:9" x14ac:dyDescent="0.3">
      <c r="A108" s="1">
        <v>102</v>
      </c>
      <c r="B108" s="27">
        <v>32555</v>
      </c>
      <c r="C108" s="4">
        <v>273.90954599999998</v>
      </c>
      <c r="D108" s="4">
        <v>274.70059199999997</v>
      </c>
      <c r="E108">
        <v>44662.550780999998</v>
      </c>
      <c r="F108" s="34">
        <f t="shared" si="11"/>
        <v>1.3411580889794446E-2</v>
      </c>
      <c r="G108" s="35">
        <f t="shared" si="12"/>
        <v>3.2417426753788163E-2</v>
      </c>
      <c r="H108" s="35">
        <f t="shared" si="13"/>
        <v>3.6142989776301684E-3</v>
      </c>
      <c r="I108" s="36">
        <f t="shared" si="14"/>
        <v>-1.1933109927077957E-3</v>
      </c>
    </row>
    <row r="109" spans="1:9" x14ac:dyDescent="0.3">
      <c r="A109" s="1">
        <v>103</v>
      </c>
      <c r="B109" s="27">
        <v>32764.300781000002</v>
      </c>
      <c r="C109" s="4">
        <v>281.89288299999998</v>
      </c>
      <c r="D109" s="4">
        <v>272.78457600000002</v>
      </c>
      <c r="E109">
        <v>45013.121094000002</v>
      </c>
      <c r="F109" s="34">
        <f t="shared" si="11"/>
        <v>6.4085651506915415E-3</v>
      </c>
      <c r="G109" s="35">
        <f t="shared" si="12"/>
        <v>2.8729223462514088E-2</v>
      </c>
      <c r="H109" s="35">
        <f t="shared" si="13"/>
        <v>-6.9993633957316174E-3</v>
      </c>
      <c r="I109" s="36">
        <f t="shared" si="14"/>
        <v>7.8186667928342325E-3</v>
      </c>
    </row>
    <row r="110" spans="1:9" x14ac:dyDescent="0.3">
      <c r="A110" s="1">
        <v>104</v>
      </c>
      <c r="B110" s="27">
        <v>33390.398437999997</v>
      </c>
      <c r="C110" s="4">
        <v>283.68872099999999</v>
      </c>
      <c r="D110" s="4">
        <v>272.83175699999998</v>
      </c>
      <c r="E110">
        <v>45243.980469000002</v>
      </c>
      <c r="F110" s="34">
        <f t="shared" si="11"/>
        <v>1.8928854898998131E-2</v>
      </c>
      <c r="G110" s="35">
        <f t="shared" si="12"/>
        <v>6.3504329791062263E-3</v>
      </c>
      <c r="H110" s="35">
        <f t="shared" si="13"/>
        <v>1.7294570291957436E-4</v>
      </c>
      <c r="I110" s="36">
        <f t="shared" si="14"/>
        <v>5.1156058516539224E-3</v>
      </c>
    </row>
    <row r="111" spans="1:9" x14ac:dyDescent="0.3">
      <c r="A111" s="1">
        <v>105</v>
      </c>
      <c r="B111" s="27">
        <v>34660</v>
      </c>
      <c r="C111" s="4">
        <v>290.44381700000002</v>
      </c>
      <c r="D111" s="4">
        <v>274.54016100000001</v>
      </c>
      <c r="E111">
        <v>45130.699219000002</v>
      </c>
      <c r="F111" s="34">
        <f t="shared" si="11"/>
        <v>3.7317897548944969E-2</v>
      </c>
      <c r="G111" s="35">
        <f t="shared" si="12"/>
        <v>2.3532572315725225E-2</v>
      </c>
      <c r="H111" s="35">
        <f t="shared" si="13"/>
        <v>6.2422257744725162E-3</v>
      </c>
      <c r="I111" s="36">
        <f t="shared" si="14"/>
        <v>-2.506925827434882E-3</v>
      </c>
    </row>
    <row r="112" spans="1:9" x14ac:dyDescent="0.3">
      <c r="A112" s="1">
        <v>106</v>
      </c>
      <c r="B112" s="27">
        <v>34343.601562999997</v>
      </c>
      <c r="C112" s="4">
        <v>293.439911</v>
      </c>
      <c r="D112" s="4">
        <v>273.61514299999999</v>
      </c>
      <c r="E112">
        <v>45181.820312999997</v>
      </c>
      <c r="F112" s="34">
        <f t="shared" si="11"/>
        <v>-9.1705547893569661E-3</v>
      </c>
      <c r="G112" s="35">
        <f t="shared" si="12"/>
        <v>1.0262729214381244E-2</v>
      </c>
      <c r="H112" s="35">
        <f t="shared" si="13"/>
        <v>-3.3750248198171203E-3</v>
      </c>
      <c r="I112" s="36">
        <f t="shared" si="14"/>
        <v>1.1320933072134221E-3</v>
      </c>
    </row>
    <row r="113" spans="1:9" x14ac:dyDescent="0.3">
      <c r="A113" s="1">
        <v>107</v>
      </c>
      <c r="B113" s="27">
        <v>34631.199219000002</v>
      </c>
      <c r="C113" s="4">
        <v>296.12899800000002</v>
      </c>
      <c r="D113" s="4">
        <v>271.68969700000002</v>
      </c>
      <c r="E113">
        <v>45476.570312999997</v>
      </c>
      <c r="F113" s="34">
        <f t="shared" si="11"/>
        <v>8.3392577997480483E-3</v>
      </c>
      <c r="G113" s="35">
        <f t="shared" si="12"/>
        <v>9.1222776738551122E-3</v>
      </c>
      <c r="H113" s="35">
        <f t="shared" si="13"/>
        <v>-7.0619362262668911E-3</v>
      </c>
      <c r="I113" s="36">
        <f t="shared" si="14"/>
        <v>6.5024546876154702E-3</v>
      </c>
    </row>
    <row r="114" spans="1:9" x14ac:dyDescent="0.3">
      <c r="A114" s="1">
        <v>108</v>
      </c>
      <c r="B114" s="27">
        <v>34150</v>
      </c>
      <c r="C114" s="4">
        <v>301.60940599999998</v>
      </c>
      <c r="D114" s="4">
        <v>272.31262199999998</v>
      </c>
      <c r="E114">
        <v>45939.539062999997</v>
      </c>
      <c r="F114" s="34">
        <f t="shared" si="11"/>
        <v>-1.3992401281052032E-2</v>
      </c>
      <c r="G114" s="35">
        <f t="shared" si="12"/>
        <v>1.833765920704019E-2</v>
      </c>
      <c r="H114" s="35">
        <f t="shared" si="13"/>
        <v>2.2901566794997301E-3</v>
      </c>
      <c r="I114" s="36">
        <f t="shared" si="14"/>
        <v>1.0128908599047408E-2</v>
      </c>
    </row>
    <row r="115" spans="1:9" x14ac:dyDescent="0.3">
      <c r="A115" s="1">
        <v>109</v>
      </c>
      <c r="B115" s="27">
        <v>34814.398437999997</v>
      </c>
      <c r="C115" s="4">
        <v>294.61233499999997</v>
      </c>
      <c r="D115" s="4">
        <v>273.63403299999999</v>
      </c>
      <c r="E115">
        <v>46301.140625</v>
      </c>
      <c r="F115" s="34">
        <f t="shared" si="11"/>
        <v>1.9268463411828456E-2</v>
      </c>
      <c r="G115" s="35">
        <f t="shared" si="12"/>
        <v>-2.3472449165502687E-2</v>
      </c>
      <c r="H115" s="35">
        <f t="shared" si="13"/>
        <v>4.8408157402816529E-3</v>
      </c>
      <c r="I115" s="36">
        <f t="shared" si="14"/>
        <v>7.8404325639623573E-3</v>
      </c>
    </row>
    <row r="116" spans="1:9" x14ac:dyDescent="0.3">
      <c r="A116" s="1">
        <v>110</v>
      </c>
      <c r="B116" s="27">
        <v>35070</v>
      </c>
      <c r="C116" s="4">
        <v>292.95614599999999</v>
      </c>
      <c r="D116" s="4">
        <v>276.502228</v>
      </c>
      <c r="E116">
        <v>46660.75</v>
      </c>
      <c r="F116" s="34">
        <f t="shared" si="11"/>
        <v>7.3150147234592481E-3</v>
      </c>
      <c r="G116" s="35">
        <f t="shared" si="12"/>
        <v>-5.6374480245525256E-3</v>
      </c>
      <c r="H116" s="35">
        <f t="shared" si="13"/>
        <v>1.0427311163578428E-2</v>
      </c>
      <c r="I116" s="36">
        <f t="shared" si="14"/>
        <v>7.7367438710244174E-3</v>
      </c>
    </row>
    <row r="117" spans="1:9" x14ac:dyDescent="0.3">
      <c r="A117" s="1">
        <v>111</v>
      </c>
      <c r="B117" s="27">
        <v>35350</v>
      </c>
      <c r="C117" s="4">
        <v>296.864014</v>
      </c>
      <c r="D117" s="4">
        <v>274.64462300000002</v>
      </c>
      <c r="E117">
        <v>46760.578125</v>
      </c>
      <c r="F117" s="34">
        <f t="shared" si="11"/>
        <v>7.9523281904950154E-3</v>
      </c>
      <c r="G117" s="35">
        <f t="shared" si="12"/>
        <v>1.3251243170408256E-2</v>
      </c>
      <c r="H117" s="35">
        <f t="shared" si="13"/>
        <v>-6.7408968433991488E-3</v>
      </c>
      <c r="I117" s="36">
        <f t="shared" si="14"/>
        <v>2.1371600040435176E-3</v>
      </c>
    </row>
    <row r="118" spans="1:9" x14ac:dyDescent="0.3">
      <c r="A118" s="1">
        <v>112</v>
      </c>
      <c r="B118" s="27">
        <v>35882</v>
      </c>
      <c r="C118" s="4">
        <v>295.51483200000001</v>
      </c>
      <c r="D118" s="4">
        <v>275.67450000000002</v>
      </c>
      <c r="E118">
        <v>47197.238280999998</v>
      </c>
      <c r="F118" s="34">
        <f t="shared" si="11"/>
        <v>1.4937384654610922E-2</v>
      </c>
      <c r="G118" s="35">
        <f t="shared" si="12"/>
        <v>-4.5551401505692134E-3</v>
      </c>
      <c r="H118" s="35">
        <f t="shared" si="13"/>
        <v>3.7428399604514241E-3</v>
      </c>
      <c r="I118" s="36">
        <f t="shared" si="14"/>
        <v>9.2948796909475759E-3</v>
      </c>
    </row>
    <row r="119" spans="1:9" x14ac:dyDescent="0.3">
      <c r="A119" s="1">
        <v>113</v>
      </c>
      <c r="B119" s="27">
        <v>35461.398437999997</v>
      </c>
      <c r="C119" s="4">
        <v>301.106964</v>
      </c>
      <c r="D119" s="4">
        <v>277.39733899999999</v>
      </c>
      <c r="E119">
        <v>46938.820312999997</v>
      </c>
      <c r="F119" s="34">
        <f t="shared" si="11"/>
        <v>-1.179104007291365E-2</v>
      </c>
      <c r="G119" s="35">
        <f t="shared" si="12"/>
        <v>1.8746535269022969E-2</v>
      </c>
      <c r="H119" s="35">
        <f t="shared" si="13"/>
        <v>6.2300932755610843E-3</v>
      </c>
      <c r="I119" s="36">
        <f t="shared" si="14"/>
        <v>-5.490321583405228E-3</v>
      </c>
    </row>
    <row r="120" spans="1:9" x14ac:dyDescent="0.3">
      <c r="A120" s="1">
        <v>114</v>
      </c>
      <c r="B120" s="27">
        <v>35490</v>
      </c>
      <c r="C120" s="4">
        <v>305.11721799999998</v>
      </c>
      <c r="D120" s="4">
        <v>272.87368800000002</v>
      </c>
      <c r="E120">
        <v>46660.871094000002</v>
      </c>
      <c r="F120" s="34">
        <f t="shared" si="11"/>
        <v>8.0622973412594883E-4</v>
      </c>
      <c r="G120" s="35">
        <f t="shared" si="12"/>
        <v>1.3230460337412209E-2</v>
      </c>
      <c r="H120" s="35">
        <f t="shared" si="13"/>
        <v>-1.6441908392473198E-2</v>
      </c>
      <c r="I120" s="36">
        <f t="shared" si="14"/>
        <v>-5.9391229144903825E-3</v>
      </c>
    </row>
    <row r="121" spans="1:9" x14ac:dyDescent="0.3">
      <c r="A121" s="1">
        <v>115</v>
      </c>
      <c r="B121" s="27">
        <v>35636.699219000002</v>
      </c>
      <c r="C121" s="4">
        <v>313.66815200000002</v>
      </c>
      <c r="D121" s="4">
        <v>275.05850199999998</v>
      </c>
      <c r="E121">
        <v>46488.378905999998</v>
      </c>
      <c r="F121" s="34">
        <f t="shared" si="11"/>
        <v>4.1250171490424059E-3</v>
      </c>
      <c r="G121" s="35">
        <f t="shared" si="12"/>
        <v>2.7639562207575279E-2</v>
      </c>
      <c r="H121" s="35">
        <f t="shared" si="13"/>
        <v>7.9748027909914004E-3</v>
      </c>
      <c r="I121" s="36">
        <f t="shared" si="14"/>
        <v>-3.7035700269132431E-3</v>
      </c>
    </row>
    <row r="122" spans="1:9" x14ac:dyDescent="0.3">
      <c r="A122" s="1">
        <v>116</v>
      </c>
      <c r="B122" s="27">
        <v>35734.199219000002</v>
      </c>
      <c r="C122" s="4">
        <v>317.166718</v>
      </c>
      <c r="D122" s="4">
        <v>280.03457600000002</v>
      </c>
      <c r="E122">
        <v>46759.410155999998</v>
      </c>
      <c r="F122" s="34">
        <f t="shared" si="11"/>
        <v>2.7322077425573402E-3</v>
      </c>
      <c r="G122" s="35">
        <f t="shared" si="12"/>
        <v>1.109197362384917E-2</v>
      </c>
      <c r="H122" s="35">
        <f t="shared" si="13"/>
        <v>1.7929271672561236E-2</v>
      </c>
      <c r="I122" s="36">
        <f t="shared" si="14"/>
        <v>5.8131568794895002E-3</v>
      </c>
    </row>
    <row r="123" spans="1:9" x14ac:dyDescent="0.3">
      <c r="A123" s="1">
        <v>117</v>
      </c>
      <c r="B123" s="27">
        <v>35127.199219000002</v>
      </c>
      <c r="C123" s="4">
        <v>320.54431199999999</v>
      </c>
      <c r="D123" s="4">
        <v>283.01821899999999</v>
      </c>
      <c r="E123">
        <v>46456.910155999998</v>
      </c>
      <c r="F123" s="34">
        <f t="shared" si="11"/>
        <v>-1.7132454639013518E-2</v>
      </c>
      <c r="G123" s="35">
        <f t="shared" si="12"/>
        <v>1.0592965856400486E-2</v>
      </c>
      <c r="H123" s="35">
        <f t="shared" si="13"/>
        <v>1.059819240312789E-2</v>
      </c>
      <c r="I123" s="36">
        <f t="shared" si="14"/>
        <v>-6.4903025749846197E-3</v>
      </c>
    </row>
    <row r="124" spans="1:9" x14ac:dyDescent="0.3">
      <c r="A124" s="1">
        <v>118</v>
      </c>
      <c r="B124" s="27">
        <v>34399.300780999998</v>
      </c>
      <c r="C124" s="4">
        <v>324.27545199999997</v>
      </c>
      <c r="D124" s="4">
        <v>280.958527</v>
      </c>
      <c r="E124">
        <v>46737.640625</v>
      </c>
      <c r="F124" s="34">
        <f t="shared" si="11"/>
        <v>-2.0939498871938234E-2</v>
      </c>
      <c r="G124" s="35">
        <f t="shared" si="12"/>
        <v>1.1572789330224743E-2</v>
      </c>
      <c r="H124" s="35">
        <f t="shared" si="13"/>
        <v>-7.3042059691012491E-3</v>
      </c>
      <c r="I124" s="36">
        <f t="shared" si="14"/>
        <v>6.0246294609869631E-3</v>
      </c>
    </row>
    <row r="125" spans="1:9" x14ac:dyDescent="0.3">
      <c r="A125" s="1">
        <v>119</v>
      </c>
      <c r="B125" s="27">
        <v>33009.199219000002</v>
      </c>
      <c r="C125" s="4">
        <v>330.45376599999997</v>
      </c>
      <c r="D125" s="4">
        <v>281.16064499999999</v>
      </c>
      <c r="E125">
        <v>46747.851562999997</v>
      </c>
      <c r="F125" s="34">
        <f t="shared" si="11"/>
        <v>-4.1249951207975151E-2</v>
      </c>
      <c r="G125" s="35">
        <f t="shared" si="12"/>
        <v>1.8873443327524317E-2</v>
      </c>
      <c r="H125" s="35">
        <f t="shared" si="13"/>
        <v>7.1912867867942611E-4</v>
      </c>
      <c r="I125" s="36">
        <f t="shared" si="14"/>
        <v>2.1844968243998547E-4</v>
      </c>
    </row>
    <row r="126" spans="1:9" x14ac:dyDescent="0.3">
      <c r="A126" s="1">
        <v>120</v>
      </c>
      <c r="B126" s="27">
        <v>33741</v>
      </c>
      <c r="C126" s="4">
        <v>356.599762</v>
      </c>
      <c r="D126" s="4">
        <v>276.52148399999999</v>
      </c>
      <c r="E126">
        <v>46908.941405999998</v>
      </c>
      <c r="F126" s="34">
        <f t="shared" si="11"/>
        <v>2.1927428258916366E-2</v>
      </c>
      <c r="G126" s="35">
        <f t="shared" si="12"/>
        <v>7.6147279582405414E-2</v>
      </c>
      <c r="H126" s="35">
        <f t="shared" si="13"/>
        <v>-1.6637678609425034E-2</v>
      </c>
      <c r="I126" s="36">
        <f t="shared" si="14"/>
        <v>3.4400067896832942E-3</v>
      </c>
    </row>
    <row r="127" spans="1:9" x14ac:dyDescent="0.3">
      <c r="A127" s="1">
        <v>121</v>
      </c>
      <c r="B127" s="27">
        <v>33578.398437999997</v>
      </c>
      <c r="C127" s="4">
        <v>358.265289</v>
      </c>
      <c r="D127" s="4">
        <v>274.817902</v>
      </c>
      <c r="E127">
        <v>46874.429687999997</v>
      </c>
      <c r="F127" s="34">
        <f t="shared" si="11"/>
        <v>-4.8307585029464233E-3</v>
      </c>
      <c r="G127" s="35">
        <f t="shared" si="12"/>
        <v>4.6597046849058002E-3</v>
      </c>
      <c r="H127" s="35">
        <f t="shared" si="13"/>
        <v>-6.1798139763610555E-3</v>
      </c>
      <c r="I127" s="36">
        <f t="shared" si="14"/>
        <v>-7.3598803615760179E-4</v>
      </c>
    </row>
    <row r="128" spans="1:9" x14ac:dyDescent="0.3">
      <c r="A128" s="1">
        <v>122</v>
      </c>
      <c r="B128" s="27">
        <v>33625.398437999997</v>
      </c>
      <c r="C128" s="4">
        <v>367.83041400000002</v>
      </c>
      <c r="D128" s="4">
        <v>274.36550899999997</v>
      </c>
      <c r="E128">
        <v>47031.269530999998</v>
      </c>
      <c r="F128" s="34">
        <f t="shared" si="11"/>
        <v>1.3987307219999183E-3</v>
      </c>
      <c r="G128" s="35">
        <f t="shared" si="12"/>
        <v>2.6348257732459961E-2</v>
      </c>
      <c r="H128" s="35">
        <f t="shared" si="13"/>
        <v>-1.6475118995442275E-3</v>
      </c>
      <c r="I128" s="36">
        <f t="shared" si="14"/>
        <v>3.3403720996792985E-3</v>
      </c>
    </row>
    <row r="129" spans="1:9" x14ac:dyDescent="0.3">
      <c r="A129" s="1">
        <v>123</v>
      </c>
      <c r="B129" s="27">
        <v>33903.601562999997</v>
      </c>
      <c r="C129" s="4">
        <v>375.90683000000001</v>
      </c>
      <c r="D129" s="4">
        <v>276.848724</v>
      </c>
      <c r="E129">
        <v>47663.199219000002</v>
      </c>
      <c r="F129" s="34">
        <f t="shared" si="11"/>
        <v>8.239562230662939E-3</v>
      </c>
      <c r="G129" s="35">
        <f t="shared" si="12"/>
        <v>2.1719319699342557E-2</v>
      </c>
      <c r="H129" s="35">
        <f t="shared" si="13"/>
        <v>9.0100423771369495E-3</v>
      </c>
      <c r="I129" s="36">
        <f t="shared" si="14"/>
        <v>1.3346905628267148E-2</v>
      </c>
    </row>
    <row r="130" spans="1:9" x14ac:dyDescent="0.3">
      <c r="A130" s="1">
        <v>124</v>
      </c>
      <c r="B130" s="27">
        <v>34190</v>
      </c>
      <c r="C130" s="4">
        <v>405.23498499999999</v>
      </c>
      <c r="D130" s="4">
        <v>279.553314</v>
      </c>
      <c r="E130">
        <v>46653.519530999998</v>
      </c>
      <c r="F130" s="34">
        <f t="shared" si="11"/>
        <v>8.4119541114991044E-3</v>
      </c>
      <c r="G130" s="35">
        <f t="shared" si="12"/>
        <v>7.5125788595355722E-2</v>
      </c>
      <c r="H130" s="35">
        <f t="shared" si="13"/>
        <v>9.7217879046616034E-3</v>
      </c>
      <c r="I130" s="36">
        <f t="shared" si="14"/>
        <v>-2.141122537478218E-2</v>
      </c>
    </row>
    <row r="131" spans="1:9" x14ac:dyDescent="0.3">
      <c r="A131" s="1">
        <v>125</v>
      </c>
      <c r="B131" s="27">
        <v>33276</v>
      </c>
      <c r="C131" s="4">
        <v>428.76641799999999</v>
      </c>
      <c r="D131" s="4">
        <v>275.06814600000001</v>
      </c>
      <c r="E131">
        <v>47053.890625</v>
      </c>
      <c r="F131" s="34">
        <f t="shared" si="11"/>
        <v>-2.7096787229568656E-2</v>
      </c>
      <c r="G131" s="35">
        <f t="shared" si="12"/>
        <v>5.6445181731961121E-2</v>
      </c>
      <c r="H131" s="35">
        <f t="shared" si="13"/>
        <v>-1.6174151564291139E-2</v>
      </c>
      <c r="I131" s="36">
        <f t="shared" si="14"/>
        <v>8.5451839847940411E-3</v>
      </c>
    </row>
    <row r="132" spans="1:9" x14ac:dyDescent="0.3">
      <c r="A132" s="1">
        <v>126</v>
      </c>
      <c r="B132" s="27">
        <v>33276</v>
      </c>
      <c r="C132" s="4">
        <v>459.36001599999997</v>
      </c>
      <c r="D132" s="4">
        <v>278.73519900000002</v>
      </c>
      <c r="E132">
        <v>47318.519530999998</v>
      </c>
      <c r="F132" s="34">
        <f t="shared" si="11"/>
        <v>0</v>
      </c>
      <c r="G132" s="35">
        <f t="shared" si="12"/>
        <v>6.8921960745449762E-2</v>
      </c>
      <c r="H132" s="35">
        <f t="shared" si="13"/>
        <v>1.3243353002059916E-2</v>
      </c>
      <c r="I132" s="36">
        <f t="shared" si="14"/>
        <v>5.6081983951054987E-3</v>
      </c>
    </row>
    <row r="133" spans="1:9" x14ac:dyDescent="0.3">
      <c r="A133" s="1">
        <v>127</v>
      </c>
      <c r="B133" s="27">
        <v>32670</v>
      </c>
      <c r="C133" s="4">
        <v>409.96176100000002</v>
      </c>
      <c r="D133" s="4">
        <v>279.66879299999999</v>
      </c>
      <c r="E133">
        <v>48562.648437999997</v>
      </c>
      <c r="F133" s="34">
        <f t="shared" si="11"/>
        <v>-1.8379190808662453E-2</v>
      </c>
      <c r="G133" s="35">
        <f t="shared" si="12"/>
        <v>-0.11377036170865769</v>
      </c>
      <c r="H133" s="35">
        <f t="shared" si="13"/>
        <v>3.3437972623750387E-3</v>
      </c>
      <c r="I133" s="36">
        <f t="shared" si="14"/>
        <v>2.595293246792298E-2</v>
      </c>
    </row>
    <row r="134" spans="1:9" x14ac:dyDescent="0.3">
      <c r="A134" s="1">
        <v>128</v>
      </c>
      <c r="B134" s="27">
        <v>32618.699218999998</v>
      </c>
      <c r="C134" s="4">
        <v>441.79287699999998</v>
      </c>
      <c r="D134" s="4">
        <v>272.64267000000001</v>
      </c>
      <c r="E134">
        <v>48981.410155999998</v>
      </c>
      <c r="F134" s="34">
        <f t="shared" si="11"/>
        <v>-1.5715060085897655E-3</v>
      </c>
      <c r="G134" s="35">
        <f t="shared" si="12"/>
        <v>7.477727868093445E-2</v>
      </c>
      <c r="H134" s="35">
        <f t="shared" si="13"/>
        <v>-2.5443984142319048E-2</v>
      </c>
      <c r="I134" s="36">
        <f t="shared" si="14"/>
        <v>8.5861567931170089E-3</v>
      </c>
    </row>
    <row r="135" spans="1:9" x14ac:dyDescent="0.3">
      <c r="A135" s="1">
        <v>129</v>
      </c>
      <c r="B135" s="27">
        <v>33316.199219000002</v>
      </c>
      <c r="C135" s="4">
        <v>436.46133400000002</v>
      </c>
      <c r="D135" s="4">
        <v>271.99783300000001</v>
      </c>
      <c r="E135">
        <v>49235.808594000002</v>
      </c>
      <c r="F135" s="34">
        <f t="shared" si="11"/>
        <v>2.115802213026028E-2</v>
      </c>
      <c r="G135" s="35">
        <f t="shared" si="12"/>
        <v>-1.2141378721539746E-2</v>
      </c>
      <c r="H135" s="35">
        <f t="shared" si="13"/>
        <v>-2.3679373743047349E-3</v>
      </c>
      <c r="I135" s="36">
        <f t="shared" si="14"/>
        <v>5.1803341645027465E-3</v>
      </c>
    </row>
    <row r="136" spans="1:9" x14ac:dyDescent="0.3">
      <c r="A136" s="1">
        <v>130</v>
      </c>
      <c r="B136" s="27">
        <v>32884.101562999997</v>
      </c>
      <c r="C136" s="4">
        <v>422.56954999999999</v>
      </c>
      <c r="D136" s="4">
        <v>272.75820900000002</v>
      </c>
      <c r="E136">
        <v>48990.921875</v>
      </c>
      <c r="F136" s="34">
        <f t="shared" ref="F136:F199" si="17">LN(B136/B135)</f>
        <v>-1.3054435926237859E-2</v>
      </c>
      <c r="G136" s="35">
        <f t="shared" ref="G136:G199" si="18">LN(C136/C135)</f>
        <v>-3.23457408203413E-2</v>
      </c>
      <c r="H136" s="35">
        <f t="shared" ref="H136:H199" si="19">LN(D136/D135)</f>
        <v>2.7916220663433927E-3</v>
      </c>
      <c r="I136" s="36">
        <f t="shared" ref="I136:I199" si="20">LN(E136/E135)</f>
        <v>-4.9861626298927497E-3</v>
      </c>
    </row>
    <row r="137" spans="1:9" x14ac:dyDescent="0.3">
      <c r="A137" s="1">
        <v>131</v>
      </c>
      <c r="B137" s="27">
        <v>33486.898437999997</v>
      </c>
      <c r="C137" s="4">
        <v>445.13324</v>
      </c>
      <c r="D137" s="4">
        <v>274.53875699999998</v>
      </c>
      <c r="E137">
        <v>49025.148437999997</v>
      </c>
      <c r="F137" s="34">
        <f t="shared" si="17"/>
        <v>1.8164965123436103E-2</v>
      </c>
      <c r="G137" s="35">
        <f t="shared" si="18"/>
        <v>5.2019604446414833E-2</v>
      </c>
      <c r="H137" s="35">
        <f t="shared" si="19"/>
        <v>6.5067208210283587E-3</v>
      </c>
      <c r="I137" s="36">
        <f t="shared" si="20"/>
        <v>6.9838679069350682E-4</v>
      </c>
    </row>
    <row r="138" spans="1:9" x14ac:dyDescent="0.3">
      <c r="A138" s="1">
        <v>132</v>
      </c>
      <c r="B138" s="27">
        <v>34025</v>
      </c>
      <c r="C138" s="4">
        <v>443.18856799999998</v>
      </c>
      <c r="D138" s="4">
        <v>275.270264</v>
      </c>
      <c r="E138">
        <v>48696.300780999998</v>
      </c>
      <c r="F138" s="34">
        <f t="shared" si="17"/>
        <v>1.5941277605682331E-2</v>
      </c>
      <c r="G138" s="35">
        <f t="shared" si="18"/>
        <v>-4.3783122040624766E-3</v>
      </c>
      <c r="H138" s="35">
        <f t="shared" si="19"/>
        <v>2.6609509982170169E-3</v>
      </c>
      <c r="I138" s="36">
        <f t="shared" si="20"/>
        <v>-6.7303319988612116E-3</v>
      </c>
    </row>
    <row r="139" spans="1:9" x14ac:dyDescent="0.3">
      <c r="A139" s="1">
        <v>133</v>
      </c>
      <c r="B139" s="27">
        <v>34370.101562999997</v>
      </c>
      <c r="C139" s="4">
        <v>446.62197900000001</v>
      </c>
      <c r="D139" s="4">
        <v>273.73028599999998</v>
      </c>
      <c r="E139">
        <v>48406.011719000002</v>
      </c>
      <c r="F139" s="34">
        <f t="shared" si="17"/>
        <v>1.0091497309663289E-2</v>
      </c>
      <c r="G139" s="35">
        <f t="shared" si="18"/>
        <v>7.717211380314979E-3</v>
      </c>
      <c r="H139" s="35">
        <f t="shared" si="19"/>
        <v>-5.6101293124238543E-3</v>
      </c>
      <c r="I139" s="36">
        <f t="shared" si="20"/>
        <v>-5.9790528015805549E-3</v>
      </c>
    </row>
    <row r="140" spans="1:9" x14ac:dyDescent="0.3">
      <c r="A140" s="1">
        <v>134</v>
      </c>
      <c r="B140" s="27">
        <v>34300.300780999998</v>
      </c>
      <c r="C140" s="4">
        <v>442.61166400000002</v>
      </c>
      <c r="D140" s="4">
        <v>274.84677099999999</v>
      </c>
      <c r="E140">
        <v>48454.210937999997</v>
      </c>
      <c r="F140" s="34">
        <f t="shared" si="17"/>
        <v>-2.0329225883830896E-3</v>
      </c>
      <c r="G140" s="35">
        <f t="shared" si="18"/>
        <v>-9.0197716207092958E-3</v>
      </c>
      <c r="H140" s="35">
        <f t="shared" si="19"/>
        <v>4.0704820856914048E-3</v>
      </c>
      <c r="I140" s="36">
        <f t="shared" si="20"/>
        <v>9.9523254554296928E-4</v>
      </c>
    </row>
    <row r="141" spans="1:9" x14ac:dyDescent="0.3">
      <c r="A141" s="1">
        <v>135</v>
      </c>
      <c r="B141" s="27">
        <v>34957.300780999998</v>
      </c>
      <c r="C141" s="4">
        <v>434.33987400000001</v>
      </c>
      <c r="D141" s="4">
        <v>275.33761600000003</v>
      </c>
      <c r="E141">
        <v>48704.628905999998</v>
      </c>
      <c r="F141" s="34">
        <f t="shared" si="17"/>
        <v>1.8973215766308761E-2</v>
      </c>
      <c r="G141" s="35">
        <f t="shared" si="18"/>
        <v>-1.8865433198430322E-2</v>
      </c>
      <c r="H141" s="35">
        <f t="shared" si="19"/>
        <v>1.7842931999645427E-3</v>
      </c>
      <c r="I141" s="36">
        <f t="shared" si="20"/>
        <v>5.154827351084028E-3</v>
      </c>
    </row>
    <row r="142" spans="1:9" x14ac:dyDescent="0.3">
      <c r="A142" s="1">
        <v>136</v>
      </c>
      <c r="B142" s="27">
        <v>34826</v>
      </c>
      <c r="C142" s="4">
        <v>436.926514</v>
      </c>
      <c r="D142" s="4">
        <v>276.70434599999999</v>
      </c>
      <c r="E142">
        <v>49002.769530999998</v>
      </c>
      <c r="F142" s="34">
        <f t="shared" si="17"/>
        <v>-3.7631047679277303E-3</v>
      </c>
      <c r="G142" s="35">
        <f t="shared" si="18"/>
        <v>5.9376733342689702E-3</v>
      </c>
      <c r="H142" s="35">
        <f t="shared" si="19"/>
        <v>4.9515539995965826E-3</v>
      </c>
      <c r="I142" s="36">
        <f t="shared" si="20"/>
        <v>6.1027425780359346E-3</v>
      </c>
    </row>
    <row r="143" spans="1:9" x14ac:dyDescent="0.3">
      <c r="A143" s="1">
        <v>137</v>
      </c>
      <c r="B143" s="27">
        <v>34585</v>
      </c>
      <c r="C143" s="4">
        <v>441.93246499999998</v>
      </c>
      <c r="D143" s="4">
        <v>276.03060900000003</v>
      </c>
      <c r="E143">
        <v>48747.789062999997</v>
      </c>
      <c r="F143" s="34">
        <f t="shared" si="17"/>
        <v>-6.9441722046428836E-3</v>
      </c>
      <c r="G143" s="35">
        <f t="shared" si="18"/>
        <v>1.1392055513825756E-2</v>
      </c>
      <c r="H143" s="35">
        <f t="shared" si="19"/>
        <v>-2.4378314690426564E-3</v>
      </c>
      <c r="I143" s="36">
        <f t="shared" si="20"/>
        <v>-5.2169736926372806E-3</v>
      </c>
    </row>
    <row r="144" spans="1:9" x14ac:dyDescent="0.3">
      <c r="A144" s="1">
        <v>138</v>
      </c>
      <c r="B144" s="27">
        <v>34700</v>
      </c>
      <c r="C144" s="4">
        <v>429.90158100000002</v>
      </c>
      <c r="D144" s="4">
        <v>284.04809599999999</v>
      </c>
      <c r="E144">
        <v>48908.238280999998</v>
      </c>
      <c r="F144" s="34">
        <f t="shared" si="17"/>
        <v>3.319624900265424E-3</v>
      </c>
      <c r="G144" s="35">
        <f t="shared" si="18"/>
        <v>-2.7600775190925343E-2</v>
      </c>
      <c r="H144" s="35">
        <f t="shared" si="19"/>
        <v>2.8631814193560087E-2</v>
      </c>
      <c r="I144" s="36">
        <f t="shared" si="20"/>
        <v>3.2860104335500442E-3</v>
      </c>
    </row>
    <row r="145" spans="1:9" x14ac:dyDescent="0.3">
      <c r="A145" s="1">
        <v>139</v>
      </c>
      <c r="B145" s="27">
        <v>34075.398437999997</v>
      </c>
      <c r="C145" s="4">
        <v>425.29574600000001</v>
      </c>
      <c r="D145" s="4">
        <v>284.80847199999999</v>
      </c>
      <c r="E145">
        <v>48850.929687999997</v>
      </c>
      <c r="F145" s="34">
        <f t="shared" si="17"/>
        <v>-1.8164016467192914E-2</v>
      </c>
      <c r="G145" s="35">
        <f t="shared" si="18"/>
        <v>-1.0771501236632671E-2</v>
      </c>
      <c r="H145" s="35">
        <f t="shared" si="19"/>
        <v>2.673350350961189E-3</v>
      </c>
      <c r="I145" s="36">
        <f t="shared" si="20"/>
        <v>-1.1724445032715147E-3</v>
      </c>
    </row>
    <row r="146" spans="1:9" x14ac:dyDescent="0.3">
      <c r="A146" s="1">
        <v>140</v>
      </c>
      <c r="B146" s="27">
        <v>34511.199219000002</v>
      </c>
      <c r="C146" s="4">
        <v>433.59552000000002</v>
      </c>
      <c r="D146" s="4">
        <v>285.520691</v>
      </c>
      <c r="E146">
        <v>49462.769530999998</v>
      </c>
      <c r="F146" s="34">
        <f t="shared" si="17"/>
        <v>1.2708215919107927E-2</v>
      </c>
      <c r="G146" s="35">
        <f t="shared" si="18"/>
        <v>1.932731811045631E-2</v>
      </c>
      <c r="H146" s="35">
        <f t="shared" si="19"/>
        <v>2.4975730382825142E-3</v>
      </c>
      <c r="I146" s="36">
        <f t="shared" si="20"/>
        <v>1.2446846103753557E-2</v>
      </c>
    </row>
    <row r="147" spans="1:9" x14ac:dyDescent="0.3">
      <c r="A147" s="1">
        <v>141</v>
      </c>
      <c r="B147" s="27">
        <v>34707.199219000002</v>
      </c>
      <c r="C147" s="4">
        <v>425.52838100000002</v>
      </c>
      <c r="D147" s="4">
        <v>275.56860399999999</v>
      </c>
      <c r="E147">
        <v>49603.648437999997</v>
      </c>
      <c r="F147" s="34">
        <f t="shared" si="17"/>
        <v>5.6632493172856912E-3</v>
      </c>
      <c r="G147" s="35">
        <f t="shared" si="18"/>
        <v>-1.8780471827153162E-2</v>
      </c>
      <c r="H147" s="35">
        <f t="shared" si="19"/>
        <v>-3.547788539718915E-2</v>
      </c>
      <c r="I147" s="36">
        <f t="shared" si="20"/>
        <v>2.8441323478402727E-3</v>
      </c>
    </row>
    <row r="148" spans="1:9" x14ac:dyDescent="0.3">
      <c r="A148" s="1">
        <v>142</v>
      </c>
      <c r="B148" s="27">
        <v>33679.800780999998</v>
      </c>
      <c r="C148" s="4">
        <v>430.850616</v>
      </c>
      <c r="D148" s="4">
        <v>274.817902</v>
      </c>
      <c r="E148">
        <v>49438.238280999998</v>
      </c>
      <c r="F148" s="34">
        <f t="shared" si="17"/>
        <v>-3.0048861418826379E-2</v>
      </c>
      <c r="G148" s="35">
        <f t="shared" si="18"/>
        <v>1.2429785275093414E-2</v>
      </c>
      <c r="H148" s="35">
        <f t="shared" si="19"/>
        <v>-2.7279101407643043E-3</v>
      </c>
      <c r="I148" s="36">
        <f t="shared" si="20"/>
        <v>-3.3402092037953159E-3</v>
      </c>
    </row>
    <row r="149" spans="1:9" x14ac:dyDescent="0.3">
      <c r="A149" s="1">
        <v>143</v>
      </c>
      <c r="B149" s="27">
        <v>33832.800780999998</v>
      </c>
      <c r="C149" s="4">
        <v>439.52255200000002</v>
      </c>
      <c r="D149" s="4">
        <v>271.18933099999998</v>
      </c>
      <c r="E149">
        <v>49643.941405999998</v>
      </c>
      <c r="F149" s="34">
        <f t="shared" si="17"/>
        <v>4.5324949236078497E-3</v>
      </c>
      <c r="G149" s="35">
        <f t="shared" si="18"/>
        <v>1.9927597247610764E-2</v>
      </c>
      <c r="H149" s="35">
        <f t="shared" si="19"/>
        <v>-1.3291488464819931E-2</v>
      </c>
      <c r="I149" s="36">
        <f t="shared" si="20"/>
        <v>4.1521779433298725E-3</v>
      </c>
    </row>
    <row r="150" spans="1:9" x14ac:dyDescent="0.3">
      <c r="A150" s="1">
        <v>144</v>
      </c>
      <c r="B150" s="27">
        <v>32906.601562999997</v>
      </c>
      <c r="C150" s="4">
        <v>443.95153800000003</v>
      </c>
      <c r="D150" s="4">
        <v>271.53582799999998</v>
      </c>
      <c r="E150">
        <v>49705.28125</v>
      </c>
      <c r="F150" s="34">
        <f t="shared" si="17"/>
        <v>-2.7757476173739536E-2</v>
      </c>
      <c r="G150" s="35">
        <f t="shared" si="18"/>
        <v>1.0026379162139082E-2</v>
      </c>
      <c r="H150" s="35">
        <f t="shared" si="19"/>
        <v>1.2768785133026532E-3</v>
      </c>
      <c r="I150" s="36">
        <f t="shared" si="20"/>
        <v>1.2348330496093781E-3</v>
      </c>
    </row>
    <row r="151" spans="1:9" x14ac:dyDescent="0.3">
      <c r="A151" s="1">
        <v>145</v>
      </c>
      <c r="B151" s="27">
        <v>33025.199219000002</v>
      </c>
      <c r="C151" s="4">
        <v>448.89230300000003</v>
      </c>
      <c r="D151" s="4">
        <v>277.33956899999998</v>
      </c>
      <c r="E151">
        <v>49698.011719000002</v>
      </c>
      <c r="F151" s="34">
        <f t="shared" si="17"/>
        <v>3.5975897065554465E-3</v>
      </c>
      <c r="G151" s="35">
        <f t="shared" si="18"/>
        <v>1.1067591456693646E-2</v>
      </c>
      <c r="H151" s="35">
        <f t="shared" si="19"/>
        <v>2.1148542440124294E-2</v>
      </c>
      <c r="I151" s="36">
        <f t="shared" si="20"/>
        <v>-1.4626338415619806E-4</v>
      </c>
    </row>
    <row r="152" spans="1:9" x14ac:dyDescent="0.3">
      <c r="A152" s="1">
        <v>146</v>
      </c>
      <c r="B152" s="27">
        <v>33413.601562999997</v>
      </c>
      <c r="C152" s="4">
        <v>448.31542999999999</v>
      </c>
      <c r="D152" s="4">
        <v>276.38671900000003</v>
      </c>
      <c r="E152">
        <v>49449.441405999998</v>
      </c>
      <c r="F152" s="34">
        <f t="shared" si="17"/>
        <v>1.1692166751573412E-2</v>
      </c>
      <c r="G152" s="35">
        <f t="shared" si="18"/>
        <v>-1.2859297981415428E-3</v>
      </c>
      <c r="H152" s="35">
        <f t="shared" si="19"/>
        <v>-3.4415954638900128E-3</v>
      </c>
      <c r="I152" s="36">
        <f t="shared" si="20"/>
        <v>-5.0141647810054086E-3</v>
      </c>
    </row>
    <row r="153" spans="1:9" x14ac:dyDescent="0.3">
      <c r="A153" s="1">
        <v>147</v>
      </c>
      <c r="B153" s="27">
        <v>34163.300780999998</v>
      </c>
      <c r="C153" s="4">
        <v>457.62933299999997</v>
      </c>
      <c r="D153" s="4">
        <v>271.71868899999998</v>
      </c>
      <c r="E153">
        <v>49056.039062999997</v>
      </c>
      <c r="F153" s="34">
        <f t="shared" si="17"/>
        <v>2.2188941819543003E-2</v>
      </c>
      <c r="G153" s="35">
        <f t="shared" si="18"/>
        <v>2.0562470361836595E-2</v>
      </c>
      <c r="H153" s="35">
        <f t="shared" si="19"/>
        <v>-1.7033741319644732E-2</v>
      </c>
      <c r="I153" s="36">
        <f t="shared" si="20"/>
        <v>-7.9874628842887575E-3</v>
      </c>
    </row>
    <row r="154" spans="1:9" x14ac:dyDescent="0.3">
      <c r="A154" s="1">
        <v>148</v>
      </c>
      <c r="B154" s="27">
        <v>33850</v>
      </c>
      <c r="C154" s="4">
        <v>465.11956800000002</v>
      </c>
      <c r="D154" s="4">
        <v>275.93438700000002</v>
      </c>
      <c r="E154">
        <v>49302.570312999997</v>
      </c>
      <c r="F154" s="34">
        <f t="shared" si="17"/>
        <v>-9.2129919724439433E-3</v>
      </c>
      <c r="G154" s="35">
        <f t="shared" si="18"/>
        <v>1.6234968170747332E-2</v>
      </c>
      <c r="H154" s="35">
        <f t="shared" si="19"/>
        <v>1.5395809702643929E-2</v>
      </c>
      <c r="I154" s="36">
        <f t="shared" si="20"/>
        <v>5.0129168728124916E-3</v>
      </c>
    </row>
    <row r="155" spans="1:9" x14ac:dyDescent="0.3">
      <c r="A155" s="1">
        <v>149</v>
      </c>
      <c r="B155" s="27">
        <v>34155</v>
      </c>
      <c r="C155" s="4">
        <v>471.251282</v>
      </c>
      <c r="D155" s="4">
        <v>277.358856</v>
      </c>
      <c r="E155">
        <v>49320.210937999997</v>
      </c>
      <c r="F155" s="34">
        <f t="shared" si="17"/>
        <v>8.9699888255285309E-3</v>
      </c>
      <c r="G155" s="35">
        <f t="shared" si="18"/>
        <v>1.3096951165358514E-2</v>
      </c>
      <c r="H155" s="35">
        <f t="shared" si="19"/>
        <v>5.1490675704199381E-3</v>
      </c>
      <c r="I155" s="36">
        <f t="shared" si="20"/>
        <v>3.5773935726347931E-4</v>
      </c>
    </row>
    <row r="156" spans="1:9" x14ac:dyDescent="0.3">
      <c r="A156" s="1">
        <v>150</v>
      </c>
      <c r="B156" s="27">
        <v>34385</v>
      </c>
      <c r="C156" s="4">
        <v>456.28949</v>
      </c>
      <c r="D156" s="4">
        <v>278.79296900000003</v>
      </c>
      <c r="E156">
        <v>49963.871094000002</v>
      </c>
      <c r="F156" s="34">
        <f t="shared" si="17"/>
        <v>6.7114345879867778E-3</v>
      </c>
      <c r="G156" s="35">
        <f t="shared" si="18"/>
        <v>-3.2264004607096122E-2</v>
      </c>
      <c r="H156" s="35">
        <f t="shared" si="19"/>
        <v>5.1572830086763855E-3</v>
      </c>
      <c r="I156" s="36">
        <f t="shared" si="20"/>
        <v>1.2966210909557047E-2</v>
      </c>
    </row>
    <row r="157" spans="1:9" x14ac:dyDescent="0.3">
      <c r="A157" s="1">
        <v>151</v>
      </c>
      <c r="B157" s="27">
        <v>34385.199219000002</v>
      </c>
      <c r="C157" s="4">
        <v>464.22631799999999</v>
      </c>
      <c r="D157" s="4">
        <v>273.69177200000001</v>
      </c>
      <c r="E157">
        <v>49894.558594000002</v>
      </c>
      <c r="F157" s="34">
        <f t="shared" si="17"/>
        <v>5.7937595721537896E-6</v>
      </c>
      <c r="G157" s="35">
        <f t="shared" si="18"/>
        <v>1.7244733047304679E-2</v>
      </c>
      <c r="H157" s="35">
        <f t="shared" si="19"/>
        <v>-1.8466906290576922E-2</v>
      </c>
      <c r="I157" s="36">
        <f t="shared" si="20"/>
        <v>-1.3882155236731991E-3</v>
      </c>
    </row>
    <row r="158" spans="1:9" x14ac:dyDescent="0.3">
      <c r="A158" s="1">
        <v>152</v>
      </c>
      <c r="B158" s="27">
        <v>34385.199219000002</v>
      </c>
      <c r="C158" s="4">
        <v>472.77725199999998</v>
      </c>
      <c r="D158" s="4">
        <v>276.55996699999997</v>
      </c>
      <c r="E158">
        <v>49244.398437999997</v>
      </c>
      <c r="F158" s="34">
        <f t="shared" si="17"/>
        <v>0</v>
      </c>
      <c r="G158" s="35">
        <f t="shared" si="18"/>
        <v>1.8252163944097077E-2</v>
      </c>
      <c r="H158" s="35">
        <f t="shared" si="19"/>
        <v>1.0425122807291423E-2</v>
      </c>
      <c r="I158" s="36">
        <f t="shared" si="20"/>
        <v>-1.3116326749049362E-2</v>
      </c>
    </row>
    <row r="159" spans="1:9" x14ac:dyDescent="0.3">
      <c r="A159" s="1">
        <v>153</v>
      </c>
      <c r="B159" s="27">
        <v>34385.199219000002</v>
      </c>
      <c r="C159" s="4">
        <v>474.052032</v>
      </c>
      <c r="D159" s="4">
        <v>277.01236</v>
      </c>
      <c r="E159">
        <v>48383.589844000002</v>
      </c>
      <c r="F159" s="34">
        <f t="shared" si="17"/>
        <v>0</v>
      </c>
      <c r="G159" s="35">
        <f t="shared" si="18"/>
        <v>2.6927362552244803E-3</v>
      </c>
      <c r="H159" s="35">
        <f t="shared" si="19"/>
        <v>1.6344498402328818E-3</v>
      </c>
      <c r="I159" s="36">
        <f t="shared" si="20"/>
        <v>-1.7634920428758954E-2</v>
      </c>
    </row>
    <row r="160" spans="1:9" x14ac:dyDescent="0.3">
      <c r="A160" s="1">
        <v>154</v>
      </c>
      <c r="B160" s="27">
        <v>36260</v>
      </c>
      <c r="C160" s="4">
        <v>478.37866200000002</v>
      </c>
      <c r="D160" s="4">
        <v>278.330963</v>
      </c>
      <c r="E160">
        <v>48767.019530999998</v>
      </c>
      <c r="F160" s="34">
        <f t="shared" si="17"/>
        <v>5.3088988795333421E-2</v>
      </c>
      <c r="G160" s="35">
        <f t="shared" si="18"/>
        <v>9.0855109764228E-3</v>
      </c>
      <c r="H160" s="35">
        <f t="shared" si="19"/>
        <v>4.7487938483362409E-3</v>
      </c>
      <c r="I160" s="36">
        <f t="shared" si="20"/>
        <v>7.8935516794894686E-3</v>
      </c>
    </row>
    <row r="161" spans="1:9" x14ac:dyDescent="0.3">
      <c r="A161" s="1">
        <v>155</v>
      </c>
      <c r="B161" s="27">
        <v>36260</v>
      </c>
      <c r="C161" s="4">
        <v>477.438873</v>
      </c>
      <c r="D161" s="4">
        <v>279.01431300000002</v>
      </c>
      <c r="E161">
        <v>49096.128905999998</v>
      </c>
      <c r="F161" s="34">
        <f t="shared" si="17"/>
        <v>0</v>
      </c>
      <c r="G161" s="35">
        <f t="shared" si="18"/>
        <v>-1.9664617323531214E-3</v>
      </c>
      <c r="H161" s="35">
        <f t="shared" si="19"/>
        <v>2.4521616019610682E-3</v>
      </c>
      <c r="I161" s="36">
        <f t="shared" si="20"/>
        <v>6.7259355732697179E-3</v>
      </c>
    </row>
    <row r="162" spans="1:9" x14ac:dyDescent="0.3">
      <c r="A162" s="1">
        <v>156</v>
      </c>
      <c r="B162" s="27">
        <v>36260</v>
      </c>
      <c r="C162" s="4">
        <v>474.377655</v>
      </c>
      <c r="D162" s="4">
        <v>281.49752799999999</v>
      </c>
      <c r="E162">
        <v>48556.691405999998</v>
      </c>
      <c r="F162" s="34">
        <f t="shared" si="17"/>
        <v>0</v>
      </c>
      <c r="G162" s="35">
        <f t="shared" si="18"/>
        <v>-6.4323920943463861E-3</v>
      </c>
      <c r="H162" s="35">
        <f t="shared" si="19"/>
        <v>8.8605844328767114E-3</v>
      </c>
      <c r="I162" s="36">
        <f t="shared" si="20"/>
        <v>-1.1048180387349662E-2</v>
      </c>
    </row>
    <row r="163" spans="1:9" x14ac:dyDescent="0.3">
      <c r="A163" s="1">
        <v>157</v>
      </c>
      <c r="B163" s="27">
        <v>35882.800780999998</v>
      </c>
      <c r="C163" s="4">
        <v>472.74008199999997</v>
      </c>
      <c r="D163" s="4">
        <v>277.23370399999999</v>
      </c>
      <c r="E163">
        <v>48059.058594000002</v>
      </c>
      <c r="F163" s="34">
        <f t="shared" si="17"/>
        <v>-1.0457111511481276E-2</v>
      </c>
      <c r="G163" s="35">
        <f t="shared" si="18"/>
        <v>-3.4580170296717359E-3</v>
      </c>
      <c r="H163" s="35">
        <f t="shared" si="19"/>
        <v>-1.5262818787457534E-2</v>
      </c>
      <c r="I163" s="36">
        <f t="shared" si="20"/>
        <v>-1.0301368310031226E-2</v>
      </c>
    </row>
    <row r="164" spans="1:9" x14ac:dyDescent="0.3">
      <c r="A164" s="1">
        <v>158</v>
      </c>
      <c r="B164" s="27">
        <v>35540</v>
      </c>
      <c r="C164" s="4">
        <v>471.65142800000001</v>
      </c>
      <c r="D164" s="4">
        <v>282.94125400000001</v>
      </c>
      <c r="E164">
        <v>48264.628905999998</v>
      </c>
      <c r="F164" s="34">
        <f t="shared" si="17"/>
        <v>-9.599271088718421E-3</v>
      </c>
      <c r="G164" s="35">
        <f t="shared" si="18"/>
        <v>-2.3055151824040803E-3</v>
      </c>
      <c r="H164" s="35">
        <f t="shared" si="19"/>
        <v>2.037844582982868E-2</v>
      </c>
      <c r="I164" s="36">
        <f t="shared" si="20"/>
        <v>4.2683296172775359E-3</v>
      </c>
    </row>
    <row r="165" spans="1:9" x14ac:dyDescent="0.3">
      <c r="A165" s="1">
        <v>159</v>
      </c>
      <c r="B165" s="27">
        <v>35540</v>
      </c>
      <c r="C165" s="4">
        <v>476.47122200000001</v>
      </c>
      <c r="D165" s="4">
        <v>286.848907</v>
      </c>
      <c r="E165">
        <v>48785.480469000002</v>
      </c>
      <c r="F165" s="34">
        <f t="shared" si="17"/>
        <v>0</v>
      </c>
      <c r="G165" s="35">
        <f t="shared" si="18"/>
        <v>1.0167113966785215E-2</v>
      </c>
      <c r="H165" s="35">
        <f t="shared" si="19"/>
        <v>1.3716327630749758E-2</v>
      </c>
      <c r="I165" s="36">
        <f t="shared" si="20"/>
        <v>1.0733765620984985E-2</v>
      </c>
    </row>
    <row r="166" spans="1:9" x14ac:dyDescent="0.3">
      <c r="A166" s="1">
        <v>160</v>
      </c>
      <c r="B166" s="27">
        <v>35586.199219000002</v>
      </c>
      <c r="C166" s="4">
        <v>470.944275</v>
      </c>
      <c r="D166" s="4">
        <v>284.35611</v>
      </c>
      <c r="E166">
        <v>49344.050780999998</v>
      </c>
      <c r="F166" s="34">
        <f t="shared" si="17"/>
        <v>1.299077583350563E-3</v>
      </c>
      <c r="G166" s="35">
        <f t="shared" si="18"/>
        <v>-1.1667551811808152E-2</v>
      </c>
      <c r="H166" s="35">
        <f t="shared" si="19"/>
        <v>-8.7282595615179228E-3</v>
      </c>
      <c r="I166" s="36">
        <f t="shared" si="20"/>
        <v>1.1384469847506188E-2</v>
      </c>
    </row>
    <row r="167" spans="1:9" x14ac:dyDescent="0.3">
      <c r="A167" s="1">
        <v>161</v>
      </c>
      <c r="B167" s="27">
        <v>35727.199219000002</v>
      </c>
      <c r="C167" s="4">
        <v>461.09997600000003</v>
      </c>
      <c r="D167" s="4">
        <v>284.84695399999998</v>
      </c>
      <c r="E167">
        <v>49880.339844000002</v>
      </c>
      <c r="F167" s="34">
        <f t="shared" si="17"/>
        <v>3.9543812754578361E-3</v>
      </c>
      <c r="G167" s="35">
        <f t="shared" si="18"/>
        <v>-2.112488775186655E-2</v>
      </c>
      <c r="H167" s="35">
        <f t="shared" si="19"/>
        <v>1.7246713965952383E-3</v>
      </c>
      <c r="I167" s="36">
        <f t="shared" si="20"/>
        <v>1.0809726957965633E-2</v>
      </c>
    </row>
    <row r="168" spans="1:9" x14ac:dyDescent="0.3">
      <c r="A168" s="1">
        <v>162</v>
      </c>
      <c r="B168" s="27">
        <v>35727.199219000002</v>
      </c>
      <c r="C168" s="4">
        <v>451.22778299999999</v>
      </c>
      <c r="D168" s="4">
        <v>278.64859000000001</v>
      </c>
      <c r="E168">
        <v>49749.558594000002</v>
      </c>
      <c r="F168" s="34">
        <f t="shared" si="17"/>
        <v>0</v>
      </c>
      <c r="G168" s="35">
        <f t="shared" si="18"/>
        <v>-2.1642613077201736E-2</v>
      </c>
      <c r="H168" s="35">
        <f t="shared" si="19"/>
        <v>-2.2000578630362169E-2</v>
      </c>
      <c r="I168" s="36">
        <f t="shared" si="20"/>
        <v>-2.6253429375529217E-3</v>
      </c>
    </row>
    <row r="169" spans="1:9" x14ac:dyDescent="0.3">
      <c r="A169" s="1">
        <v>163</v>
      </c>
      <c r="B169" s="27">
        <v>35727.199219000002</v>
      </c>
      <c r="C169" s="4">
        <v>421.29476899999997</v>
      </c>
      <c r="D169" s="4">
        <v>280.98742700000003</v>
      </c>
      <c r="E169">
        <v>49633.769530999998</v>
      </c>
      <c r="F169" s="34">
        <f t="shared" si="17"/>
        <v>0</v>
      </c>
      <c r="G169" s="35">
        <f t="shared" si="18"/>
        <v>-6.8639521508528159E-2</v>
      </c>
      <c r="H169" s="35">
        <f t="shared" si="19"/>
        <v>8.3584706689790629E-3</v>
      </c>
      <c r="I169" s="36">
        <f t="shared" si="20"/>
        <v>-2.3301516979814039E-3</v>
      </c>
    </row>
    <row r="170" spans="1:9" x14ac:dyDescent="0.3">
      <c r="A170" s="1">
        <v>164</v>
      </c>
      <c r="B170" s="27">
        <v>36145</v>
      </c>
      <c r="C170" s="4">
        <v>413.98138399999999</v>
      </c>
      <c r="D170" s="4">
        <v>280.26556399999998</v>
      </c>
      <c r="E170">
        <v>50416.269530999998</v>
      </c>
      <c r="F170" s="34">
        <f t="shared" si="17"/>
        <v>1.1626344866946796E-2</v>
      </c>
      <c r="G170" s="35">
        <f t="shared" si="18"/>
        <v>-1.7511745946751287E-2</v>
      </c>
      <c r="H170" s="35">
        <f t="shared" si="19"/>
        <v>-2.5723280218191225E-3</v>
      </c>
      <c r="I170" s="36">
        <f t="shared" si="20"/>
        <v>1.5642491755894879E-2</v>
      </c>
    </row>
    <row r="171" spans="1:9" x14ac:dyDescent="0.3">
      <c r="A171" s="1">
        <v>165</v>
      </c>
      <c r="B171" s="27">
        <v>36799.398437999997</v>
      </c>
      <c r="C171" s="4">
        <v>419.16403200000002</v>
      </c>
      <c r="D171" s="4">
        <v>275.18362400000001</v>
      </c>
      <c r="E171">
        <v>50023.980469000002</v>
      </c>
      <c r="F171" s="34">
        <f t="shared" si="17"/>
        <v>1.7942871795536133E-2</v>
      </c>
      <c r="G171" s="35">
        <f t="shared" si="18"/>
        <v>1.2441321168222977E-2</v>
      </c>
      <c r="H171" s="35">
        <f t="shared" si="19"/>
        <v>-1.8298998063958277E-2</v>
      </c>
      <c r="I171" s="36">
        <f t="shared" si="20"/>
        <v>-7.8114313084142089E-3</v>
      </c>
    </row>
    <row r="172" spans="1:9" x14ac:dyDescent="0.3">
      <c r="A172" s="1">
        <v>166</v>
      </c>
      <c r="B172" s="27">
        <v>37777.800780999998</v>
      </c>
      <c r="C172" s="4">
        <v>417.40545700000001</v>
      </c>
      <c r="D172" s="4">
        <v>276.665863</v>
      </c>
      <c r="E172">
        <v>50187.480469000002</v>
      </c>
      <c r="F172" s="34">
        <f t="shared" si="17"/>
        <v>2.6240150934829218E-2</v>
      </c>
      <c r="G172" s="35">
        <f t="shared" si="18"/>
        <v>-4.2042594511848587E-3</v>
      </c>
      <c r="H172" s="35">
        <f t="shared" si="19"/>
        <v>5.3719088243439368E-3</v>
      </c>
      <c r="I172" s="36">
        <f t="shared" si="20"/>
        <v>3.2631027139288209E-3</v>
      </c>
    </row>
    <row r="173" spans="1:9" x14ac:dyDescent="0.3">
      <c r="A173" s="1">
        <v>167</v>
      </c>
      <c r="B173" s="27">
        <v>38266</v>
      </c>
      <c r="C173" s="4">
        <v>415.49798600000003</v>
      </c>
      <c r="D173" s="4">
        <v>279.43777499999999</v>
      </c>
      <c r="E173">
        <v>49653.140625</v>
      </c>
      <c r="F173" s="34">
        <f t="shared" si="17"/>
        <v>1.2840124280185279E-2</v>
      </c>
      <c r="G173" s="35">
        <f t="shared" si="18"/>
        <v>-4.5803012360949372E-3</v>
      </c>
      <c r="H173" s="35">
        <f t="shared" si="19"/>
        <v>9.9691308145608802E-3</v>
      </c>
      <c r="I173" s="36">
        <f t="shared" si="20"/>
        <v>-1.0703958768597846E-2</v>
      </c>
    </row>
    <row r="174" spans="1:9" x14ac:dyDescent="0.3">
      <c r="A174" s="1">
        <v>168</v>
      </c>
      <c r="B174" s="27">
        <v>38414.800780999998</v>
      </c>
      <c r="C174" s="4">
        <v>405.33734099999998</v>
      </c>
      <c r="D174" s="4">
        <v>275.992096</v>
      </c>
      <c r="E174">
        <v>49547.679687999997</v>
      </c>
      <c r="F174" s="34">
        <f t="shared" si="17"/>
        <v>3.8810488743174537E-3</v>
      </c>
      <c r="G174" s="35">
        <f t="shared" si="18"/>
        <v>-2.4758105967023967E-2</v>
      </c>
      <c r="H174" s="35">
        <f t="shared" si="19"/>
        <v>-1.2407410487674455E-2</v>
      </c>
      <c r="I174" s="36">
        <f t="shared" si="20"/>
        <v>-2.1262117873156808E-3</v>
      </c>
    </row>
    <row r="175" spans="1:9" x14ac:dyDescent="0.3">
      <c r="A175" s="1">
        <v>169</v>
      </c>
      <c r="B175" s="27">
        <v>38414.800780999998</v>
      </c>
      <c r="C175" s="4">
        <v>410.96667500000001</v>
      </c>
      <c r="D175" s="4">
        <v>281.52639799999997</v>
      </c>
      <c r="E175">
        <v>49488.480469000002</v>
      </c>
      <c r="F175" s="34">
        <f t="shared" si="17"/>
        <v>0</v>
      </c>
      <c r="G175" s="35">
        <f t="shared" si="18"/>
        <v>1.3792467339142352E-2</v>
      </c>
      <c r="H175" s="35">
        <f t="shared" si="19"/>
        <v>1.9853991756041967E-2</v>
      </c>
      <c r="I175" s="36">
        <f t="shared" si="20"/>
        <v>-1.1955072966673959E-3</v>
      </c>
    </row>
    <row r="176" spans="1:9" x14ac:dyDescent="0.3">
      <c r="A176" s="1">
        <v>170</v>
      </c>
      <c r="B176" s="27">
        <v>39587</v>
      </c>
      <c r="C176" s="4">
        <v>409.561646</v>
      </c>
      <c r="D176" s="4">
        <v>281.641907</v>
      </c>
      <c r="E176">
        <v>48884.171875</v>
      </c>
      <c r="F176" s="34">
        <f t="shared" si="17"/>
        <v>3.0057959198420078E-2</v>
      </c>
      <c r="G176" s="35">
        <f t="shared" si="18"/>
        <v>-3.4246968380890969E-3</v>
      </c>
      <c r="H176" s="35">
        <f t="shared" si="19"/>
        <v>4.1021130129040062E-4</v>
      </c>
      <c r="I176" s="36">
        <f t="shared" si="20"/>
        <v>-1.228626414750548E-2</v>
      </c>
    </row>
    <row r="177" spans="1:9" x14ac:dyDescent="0.3">
      <c r="A177" s="1">
        <v>171</v>
      </c>
      <c r="B177" s="27">
        <v>38546.199219000002</v>
      </c>
      <c r="C177" s="4">
        <v>415.23748799999998</v>
      </c>
      <c r="D177" s="4">
        <v>281.52639799999997</v>
      </c>
      <c r="E177">
        <v>48595.371094000002</v>
      </c>
      <c r="F177" s="34">
        <f t="shared" si="17"/>
        <v>-2.6643279927728622E-2</v>
      </c>
      <c r="G177" s="35">
        <f t="shared" si="18"/>
        <v>1.3763185147509157E-2</v>
      </c>
      <c r="H177" s="35">
        <f t="shared" si="19"/>
        <v>-4.1021130129040599E-4</v>
      </c>
      <c r="I177" s="36">
        <f t="shared" si="20"/>
        <v>-5.9253791552375101E-3</v>
      </c>
    </row>
    <row r="178" spans="1:9" x14ac:dyDescent="0.3">
      <c r="A178" s="1">
        <v>172</v>
      </c>
      <c r="B178" s="27">
        <v>37580.601562999997</v>
      </c>
      <c r="C178" s="4">
        <v>425.39813199999998</v>
      </c>
      <c r="D178" s="4">
        <v>280.61203</v>
      </c>
      <c r="E178">
        <v>48711.851562999997</v>
      </c>
      <c r="F178" s="34">
        <f t="shared" si="17"/>
        <v>-2.5369500220018423E-2</v>
      </c>
      <c r="G178" s="35">
        <f t="shared" si="18"/>
        <v>2.4174894802023741E-2</v>
      </c>
      <c r="H178" s="35">
        <f t="shared" si="19"/>
        <v>-3.253180216350697E-3</v>
      </c>
      <c r="I178" s="36">
        <f t="shared" si="20"/>
        <v>2.3940776738763836E-3</v>
      </c>
    </row>
    <row r="179" spans="1:9" x14ac:dyDescent="0.3">
      <c r="A179" s="1">
        <v>173</v>
      </c>
      <c r="B179" s="27">
        <v>37765</v>
      </c>
      <c r="C179" s="4">
        <v>412.957855</v>
      </c>
      <c r="D179" s="4">
        <v>278.003693</v>
      </c>
      <c r="E179">
        <v>48971.140625</v>
      </c>
      <c r="F179" s="34">
        <f t="shared" si="17"/>
        <v>4.8947463776098949E-3</v>
      </c>
      <c r="G179" s="35">
        <f t="shared" si="18"/>
        <v>-2.9679969846093272E-2</v>
      </c>
      <c r="H179" s="35">
        <f t="shared" si="19"/>
        <v>-9.3386413905505571E-3</v>
      </c>
      <c r="I179" s="36">
        <f t="shared" si="20"/>
        <v>5.3087986999842997E-3</v>
      </c>
    </row>
    <row r="180" spans="1:9" x14ac:dyDescent="0.3">
      <c r="A180" s="1">
        <v>174</v>
      </c>
      <c r="B180" s="27">
        <v>37340.800780999998</v>
      </c>
      <c r="C180" s="4">
        <v>412.957855</v>
      </c>
      <c r="D180" s="4">
        <v>278.70632899999998</v>
      </c>
      <c r="E180">
        <v>48848.738280999998</v>
      </c>
      <c r="F180" s="34">
        <f t="shared" si="17"/>
        <v>-1.1296164220300692E-2</v>
      </c>
      <c r="G180" s="35">
        <f t="shared" si="18"/>
        <v>0</v>
      </c>
      <c r="H180" s="35">
        <f t="shared" si="19"/>
        <v>2.5242454610914893E-3</v>
      </c>
      <c r="I180" s="36">
        <f t="shared" si="20"/>
        <v>-2.5026080435434309E-3</v>
      </c>
    </row>
    <row r="181" spans="1:9" x14ac:dyDescent="0.3">
      <c r="A181" s="1">
        <v>175</v>
      </c>
      <c r="B181" s="27">
        <v>38198.699219000002</v>
      </c>
      <c r="C181" s="4">
        <v>397.11206099999998</v>
      </c>
      <c r="D181" s="4">
        <v>271.79571499999997</v>
      </c>
      <c r="E181">
        <v>48895.800780999998</v>
      </c>
      <c r="F181" s="34">
        <f t="shared" si="17"/>
        <v>2.2714879629002396E-2</v>
      </c>
      <c r="G181" s="35">
        <f t="shared" si="18"/>
        <v>-3.9127031371087626E-2</v>
      </c>
      <c r="H181" s="35">
        <f t="shared" si="19"/>
        <v>-2.5107906911966432E-2</v>
      </c>
      <c r="I181" s="36">
        <f t="shared" si="20"/>
        <v>9.6296947304534469E-4</v>
      </c>
    </row>
    <row r="182" spans="1:9" x14ac:dyDescent="0.3">
      <c r="A182" s="1">
        <v>176</v>
      </c>
      <c r="B182" s="27">
        <v>37874.898437999997</v>
      </c>
      <c r="C182" s="4">
        <v>396.31182899999999</v>
      </c>
      <c r="D182" s="4">
        <v>266.60791</v>
      </c>
      <c r="E182">
        <v>49254.980469000002</v>
      </c>
      <c r="F182" s="34">
        <f t="shared" si="17"/>
        <v>-8.5128808531257406E-3</v>
      </c>
      <c r="G182" s="35">
        <f t="shared" si="18"/>
        <v>-2.0171620275801828E-3</v>
      </c>
      <c r="H182" s="35">
        <f t="shared" si="19"/>
        <v>-1.9271659102245806E-2</v>
      </c>
      <c r="I182" s="36">
        <f t="shared" si="20"/>
        <v>7.318969584996898E-3</v>
      </c>
    </row>
    <row r="183" spans="1:9" x14ac:dyDescent="0.3">
      <c r="A183" s="1">
        <v>177</v>
      </c>
      <c r="B183" s="27">
        <v>37441.300780999998</v>
      </c>
      <c r="C183" s="4">
        <v>403.27172899999999</v>
      </c>
      <c r="D183" s="4">
        <v>268.118988</v>
      </c>
      <c r="E183">
        <v>49693.210937999997</v>
      </c>
      <c r="F183" s="34">
        <f t="shared" si="17"/>
        <v>-1.151418823285804E-2</v>
      </c>
      <c r="G183" s="35">
        <f t="shared" si="18"/>
        <v>1.7409251890034963E-2</v>
      </c>
      <c r="H183" s="35">
        <f t="shared" si="19"/>
        <v>5.6517898313294913E-3</v>
      </c>
      <c r="I183" s="36">
        <f t="shared" si="20"/>
        <v>8.8578341474746681E-3</v>
      </c>
    </row>
    <row r="184" spans="1:9" x14ac:dyDescent="0.3">
      <c r="A184" s="1">
        <v>178</v>
      </c>
      <c r="B184" s="27">
        <v>37170</v>
      </c>
      <c r="C184" s="4">
        <v>390.46856700000001</v>
      </c>
      <c r="D184" s="4">
        <v>266.65603599999997</v>
      </c>
      <c r="E184">
        <v>49611.929687999997</v>
      </c>
      <c r="F184" s="34">
        <f t="shared" si="17"/>
        <v>-7.2724097789685516E-3</v>
      </c>
      <c r="G184" s="35">
        <f t="shared" si="18"/>
        <v>-3.2263128438760023E-2</v>
      </c>
      <c r="H184" s="35">
        <f t="shared" si="19"/>
        <v>-5.4712938480865033E-3</v>
      </c>
      <c r="I184" s="36">
        <f t="shared" si="20"/>
        <v>-1.637000212453687E-3</v>
      </c>
    </row>
    <row r="185" spans="1:9" x14ac:dyDescent="0.3">
      <c r="A185" s="1">
        <v>179</v>
      </c>
      <c r="B185" s="27">
        <v>35951.898437999997</v>
      </c>
      <c r="C185" s="4">
        <v>389.93820199999999</v>
      </c>
      <c r="D185" s="4">
        <v>266.61755399999998</v>
      </c>
      <c r="E185">
        <v>49398.570312999997</v>
      </c>
      <c r="F185" s="34">
        <f t="shared" si="17"/>
        <v>-3.3320093803421914E-2</v>
      </c>
      <c r="G185" s="35">
        <f t="shared" si="18"/>
        <v>-1.3592016438570525E-3</v>
      </c>
      <c r="H185" s="35">
        <f t="shared" si="19"/>
        <v>-1.4432366720720525E-4</v>
      </c>
      <c r="I185" s="36">
        <f t="shared" si="20"/>
        <v>-4.3098399716253698E-3</v>
      </c>
    </row>
    <row r="186" spans="1:9" x14ac:dyDescent="0.3">
      <c r="A186" s="1">
        <v>180</v>
      </c>
      <c r="B186" s="27">
        <v>36485</v>
      </c>
      <c r="C186" s="4">
        <v>401.88537600000001</v>
      </c>
      <c r="D186" s="4">
        <v>265.92456099999998</v>
      </c>
      <c r="E186">
        <v>49661.828125</v>
      </c>
      <c r="F186" s="34">
        <f t="shared" si="17"/>
        <v>1.471932671184454E-2</v>
      </c>
      <c r="G186" s="35">
        <f t="shared" si="18"/>
        <v>3.0178643474249062E-2</v>
      </c>
      <c r="H186" s="35">
        <f t="shared" si="19"/>
        <v>-2.6025862430167882E-3</v>
      </c>
      <c r="I186" s="36">
        <f t="shared" si="20"/>
        <v>5.3151094869817476E-3</v>
      </c>
    </row>
    <row r="187" spans="1:9" x14ac:dyDescent="0.3">
      <c r="A187" s="1">
        <v>181</v>
      </c>
      <c r="B187" s="27">
        <v>36204.101562999997</v>
      </c>
      <c r="C187" s="4">
        <v>417.88931300000002</v>
      </c>
      <c r="D187" s="4">
        <v>268.24414100000001</v>
      </c>
      <c r="E187">
        <v>49590.789062999997</v>
      </c>
      <c r="F187" s="34">
        <f t="shared" si="17"/>
        <v>-7.7288019588369113E-3</v>
      </c>
      <c r="G187" s="35">
        <f t="shared" si="18"/>
        <v>3.90496823911178E-2</v>
      </c>
      <c r="H187" s="35">
        <f t="shared" si="19"/>
        <v>8.684876411610646E-3</v>
      </c>
      <c r="I187" s="36">
        <f t="shared" si="20"/>
        <v>-1.4314801189809086E-3</v>
      </c>
    </row>
    <row r="188" spans="1:9" x14ac:dyDescent="0.3">
      <c r="A188" s="1">
        <v>182</v>
      </c>
      <c r="B188" s="27">
        <v>36204.101562999997</v>
      </c>
      <c r="C188" s="4">
        <v>431.84622200000001</v>
      </c>
      <c r="D188" s="4">
        <v>270.66958599999998</v>
      </c>
      <c r="E188">
        <v>49510.78125</v>
      </c>
      <c r="F188" s="34">
        <f t="shared" si="17"/>
        <v>0</v>
      </c>
      <c r="G188" s="35">
        <f t="shared" si="18"/>
        <v>3.2852961256755887E-2</v>
      </c>
      <c r="H188" s="35">
        <f t="shared" si="19"/>
        <v>9.0012974431146805E-3</v>
      </c>
      <c r="I188" s="36">
        <f t="shared" si="20"/>
        <v>-1.6146632213781492E-3</v>
      </c>
    </row>
    <row r="189" spans="1:9" x14ac:dyDescent="0.3">
      <c r="A189" s="1">
        <v>183</v>
      </c>
      <c r="B189" s="27">
        <v>35934.5</v>
      </c>
      <c r="C189" s="4">
        <v>449.98095699999999</v>
      </c>
      <c r="D189" s="4">
        <v>275.39538599999997</v>
      </c>
      <c r="E189">
        <v>49344.289062999997</v>
      </c>
      <c r="F189" s="34">
        <f t="shared" si="17"/>
        <v>-7.47457844655089E-3</v>
      </c>
      <c r="G189" s="35">
        <f t="shared" si="18"/>
        <v>4.1135706811150308E-2</v>
      </c>
      <c r="H189" s="35">
        <f t="shared" si="19"/>
        <v>1.7308995191882958E-2</v>
      </c>
      <c r="I189" s="36">
        <f t="shared" si="20"/>
        <v>-3.3684128470907087E-3</v>
      </c>
    </row>
    <row r="190" spans="1:9" x14ac:dyDescent="0.3">
      <c r="A190" s="1">
        <v>184</v>
      </c>
      <c r="B190" s="27">
        <v>36650</v>
      </c>
      <c r="C190" s="4">
        <v>442.20230099999998</v>
      </c>
      <c r="D190" s="4">
        <v>271.71868899999998</v>
      </c>
      <c r="E190">
        <v>49417.21875</v>
      </c>
      <c r="F190" s="34">
        <f t="shared" si="17"/>
        <v>1.9715591520464811E-2</v>
      </c>
      <c r="G190" s="35">
        <f t="shared" si="18"/>
        <v>-1.7437792153542166E-2</v>
      </c>
      <c r="H190" s="35">
        <f t="shared" si="19"/>
        <v>-1.3440532849777179E-2</v>
      </c>
      <c r="I190" s="36">
        <f t="shared" si="20"/>
        <v>1.4768851118436208E-3</v>
      </c>
    </row>
    <row r="191" spans="1:9" x14ac:dyDescent="0.3">
      <c r="A191" s="1">
        <v>185</v>
      </c>
      <c r="B191" s="27">
        <v>37509.101562999997</v>
      </c>
      <c r="C191" s="4">
        <v>438.32226600000001</v>
      </c>
      <c r="D191" s="4">
        <v>270.07284499999997</v>
      </c>
      <c r="E191">
        <v>49651.550780999998</v>
      </c>
      <c r="F191" s="34">
        <f t="shared" si="17"/>
        <v>2.3170183541465422E-2</v>
      </c>
      <c r="G191" s="35">
        <f t="shared" si="18"/>
        <v>-8.8130649818222492E-3</v>
      </c>
      <c r="H191" s="35">
        <f t="shared" si="19"/>
        <v>-6.0755805855993404E-3</v>
      </c>
      <c r="I191" s="36">
        <f t="shared" si="20"/>
        <v>4.7307031091568391E-3</v>
      </c>
    </row>
    <row r="192" spans="1:9" x14ac:dyDescent="0.3">
      <c r="A192" s="1">
        <v>186</v>
      </c>
      <c r="B192" s="27">
        <v>37233.601562999997</v>
      </c>
      <c r="C192" s="4">
        <v>449.31106599999998</v>
      </c>
      <c r="D192" s="4">
        <v>272.32504299999999</v>
      </c>
      <c r="E192">
        <v>49606.070312999997</v>
      </c>
      <c r="F192" s="34">
        <f t="shared" si="17"/>
        <v>-7.3719904733337786E-3</v>
      </c>
      <c r="G192" s="35">
        <f t="shared" si="18"/>
        <v>2.4761038240561899E-2</v>
      </c>
      <c r="H192" s="35">
        <f t="shared" si="19"/>
        <v>8.3046449618701113E-3</v>
      </c>
      <c r="I192" s="36">
        <f t="shared" si="20"/>
        <v>-9.1641267807238114E-4</v>
      </c>
    </row>
    <row r="193" spans="1:9" x14ac:dyDescent="0.3">
      <c r="A193" s="1">
        <v>187</v>
      </c>
      <c r="B193" s="27">
        <v>37838</v>
      </c>
      <c r="C193" s="4">
        <v>447.20822099999998</v>
      </c>
      <c r="D193" s="4">
        <v>275.61676</v>
      </c>
      <c r="E193">
        <v>49646.910155999998</v>
      </c>
      <c r="F193" s="34">
        <f t="shared" si="17"/>
        <v>1.6102267263435572E-2</v>
      </c>
      <c r="G193" s="35">
        <f t="shared" si="18"/>
        <v>-4.6911402507406408E-3</v>
      </c>
      <c r="H193" s="35">
        <f t="shared" si="19"/>
        <v>1.2014986194550253E-2</v>
      </c>
      <c r="I193" s="36">
        <f t="shared" si="20"/>
        <v>8.229444619573176E-4</v>
      </c>
    </row>
    <row r="194" spans="1:9" x14ac:dyDescent="0.3">
      <c r="A194" s="1">
        <v>188</v>
      </c>
      <c r="B194" s="27">
        <v>37838</v>
      </c>
      <c r="C194" s="4">
        <v>447.59893799999998</v>
      </c>
      <c r="D194" s="4">
        <v>271.23745700000001</v>
      </c>
      <c r="E194">
        <v>49504.160155999998</v>
      </c>
      <c r="F194" s="34">
        <f t="shared" si="17"/>
        <v>0</v>
      </c>
      <c r="G194" s="35">
        <f t="shared" si="18"/>
        <v>8.7329883517768591E-4</v>
      </c>
      <c r="H194" s="35">
        <f t="shared" si="19"/>
        <v>-1.6016687751770398E-2</v>
      </c>
      <c r="I194" s="36">
        <f t="shared" si="20"/>
        <v>-2.8794464483674394E-3</v>
      </c>
    </row>
    <row r="195" spans="1:9" x14ac:dyDescent="0.3">
      <c r="A195" s="1">
        <v>189</v>
      </c>
      <c r="B195" s="27">
        <v>37573</v>
      </c>
      <c r="C195" s="4">
        <v>433.66992199999999</v>
      </c>
      <c r="D195" s="4">
        <v>273.60513300000002</v>
      </c>
      <c r="E195">
        <v>49841.46875</v>
      </c>
      <c r="F195" s="34">
        <f t="shared" si="17"/>
        <v>-7.0281813213642708E-3</v>
      </c>
      <c r="G195" s="35">
        <f t="shared" si="18"/>
        <v>-3.1613907431142348E-2</v>
      </c>
      <c r="H195" s="35">
        <f t="shared" si="19"/>
        <v>8.6912842264781458E-3</v>
      </c>
      <c r="I195" s="36">
        <f t="shared" si="20"/>
        <v>6.7906337480137307E-3</v>
      </c>
    </row>
    <row r="196" spans="1:9" x14ac:dyDescent="0.3">
      <c r="A196" s="1">
        <v>190</v>
      </c>
      <c r="B196" s="27">
        <v>37217</v>
      </c>
      <c r="C196" s="4">
        <v>423.07199100000003</v>
      </c>
      <c r="D196" s="4">
        <v>271.17971799999998</v>
      </c>
      <c r="E196">
        <v>49376.5</v>
      </c>
      <c r="F196" s="34">
        <f t="shared" si="17"/>
        <v>-9.5200612042351928E-3</v>
      </c>
      <c r="G196" s="35">
        <f t="shared" si="18"/>
        <v>-2.4741340294946252E-2</v>
      </c>
      <c r="H196" s="35">
        <f t="shared" si="19"/>
        <v>-8.9041794033983372E-3</v>
      </c>
      <c r="I196" s="36">
        <f t="shared" si="20"/>
        <v>-9.3727408400858421E-3</v>
      </c>
    </row>
    <row r="197" spans="1:9" x14ac:dyDescent="0.3">
      <c r="A197" s="1">
        <v>191</v>
      </c>
      <c r="B197" s="27">
        <v>37150</v>
      </c>
      <c r="C197" s="4">
        <v>402.015625</v>
      </c>
      <c r="D197" s="4">
        <v>281.83438100000001</v>
      </c>
      <c r="E197">
        <v>49005.351562999997</v>
      </c>
      <c r="F197" s="34">
        <f t="shared" si="17"/>
        <v>-1.8018749748599176E-3</v>
      </c>
      <c r="G197" s="35">
        <f t="shared" si="18"/>
        <v>-5.1051400031833505E-2</v>
      </c>
      <c r="H197" s="35">
        <f t="shared" si="19"/>
        <v>3.8537829856716721E-2</v>
      </c>
      <c r="I197" s="36">
        <f t="shared" si="20"/>
        <v>-7.5450947881974661E-3</v>
      </c>
    </row>
    <row r="198" spans="1:9" x14ac:dyDescent="0.3">
      <c r="A198" s="1">
        <v>192</v>
      </c>
      <c r="B198" s="27">
        <v>36510.601562999997</v>
      </c>
      <c r="C198" s="4">
        <v>409.04992700000003</v>
      </c>
      <c r="D198" s="4">
        <v>283.45135499999998</v>
      </c>
      <c r="E198">
        <v>48683.261719000002</v>
      </c>
      <c r="F198" s="34">
        <f t="shared" si="17"/>
        <v>-1.736109896803387E-2</v>
      </c>
      <c r="G198" s="35">
        <f t="shared" si="18"/>
        <v>1.7346263474523043E-2</v>
      </c>
      <c r="H198" s="35">
        <f t="shared" si="19"/>
        <v>5.7209241527927607E-3</v>
      </c>
      <c r="I198" s="36">
        <f t="shared" si="20"/>
        <v>-6.5942385775324772E-3</v>
      </c>
    </row>
    <row r="199" spans="1:9" x14ac:dyDescent="0.3">
      <c r="A199" s="1">
        <v>193</v>
      </c>
      <c r="B199" s="27">
        <v>35703</v>
      </c>
      <c r="C199" s="4">
        <v>405.24432400000001</v>
      </c>
      <c r="D199" s="4">
        <v>282.47924799999998</v>
      </c>
      <c r="E199">
        <v>48052.851562999997</v>
      </c>
      <c r="F199" s="34">
        <f t="shared" si="17"/>
        <v>-2.2367953327321933E-2</v>
      </c>
      <c r="G199" s="35">
        <f t="shared" si="18"/>
        <v>-9.3470651487339348E-3</v>
      </c>
      <c r="H199" s="35">
        <f t="shared" si="19"/>
        <v>-3.4354316622191364E-3</v>
      </c>
      <c r="I199" s="36">
        <f t="shared" si="20"/>
        <v>-1.3033789741507287E-2</v>
      </c>
    </row>
    <row r="200" spans="1:9" x14ac:dyDescent="0.3">
      <c r="A200" s="1">
        <v>194</v>
      </c>
      <c r="B200" s="27">
        <v>35336.300780999998</v>
      </c>
      <c r="C200" s="4">
        <v>405.99795499999999</v>
      </c>
      <c r="D200" s="4">
        <v>280.891144</v>
      </c>
      <c r="E200">
        <v>48093.101562999997</v>
      </c>
      <c r="F200" s="34">
        <f t="shared" ref="F200:F263" si="21">LN(B200/B199)</f>
        <v>-1.032393258302014E-2</v>
      </c>
      <c r="G200" s="35">
        <f t="shared" ref="G200:G263" si="22">LN(C200/C199)</f>
        <v>1.857968294567583E-3</v>
      </c>
      <c r="H200" s="35">
        <f t="shared" ref="H200:H263" si="23">LN(D200/D199)</f>
        <v>-5.6378831019017906E-3</v>
      </c>
      <c r="I200" s="36">
        <f t="shared" ref="I200:I263" si="24">LN(E200/E199)</f>
        <v>8.3726877819998607E-4</v>
      </c>
    </row>
    <row r="201" spans="1:9" x14ac:dyDescent="0.3">
      <c r="A201" s="1">
        <v>195</v>
      </c>
      <c r="B201" s="27">
        <v>35600</v>
      </c>
      <c r="C201" s="4">
        <v>415.61895800000002</v>
      </c>
      <c r="D201" s="4">
        <v>282.89312699999999</v>
      </c>
      <c r="E201">
        <v>48505.21875</v>
      </c>
      <c r="F201" s="34">
        <f t="shared" si="21"/>
        <v>7.4348515725923461E-3</v>
      </c>
      <c r="G201" s="35">
        <f t="shared" si="22"/>
        <v>2.3420751518361902E-2</v>
      </c>
      <c r="H201" s="35">
        <f t="shared" si="23"/>
        <v>7.1019768292671344E-3</v>
      </c>
      <c r="I201" s="36">
        <f t="shared" si="24"/>
        <v>8.5326470697945841E-3</v>
      </c>
    </row>
    <row r="202" spans="1:9" x14ac:dyDescent="0.3">
      <c r="A202" s="1">
        <v>196</v>
      </c>
      <c r="B202" s="27">
        <v>33887.101562999997</v>
      </c>
      <c r="C202" s="4">
        <v>407.626282</v>
      </c>
      <c r="D202" s="4">
        <v>281.45901500000002</v>
      </c>
      <c r="E202">
        <v>48136.179687999997</v>
      </c>
      <c r="F202" s="34">
        <f t="shared" si="21"/>
        <v>-4.9311180741570086E-2</v>
      </c>
      <c r="G202" s="35">
        <f t="shared" si="22"/>
        <v>-1.941809500952724E-2</v>
      </c>
      <c r="H202" s="35">
        <f t="shared" si="23"/>
        <v>-5.0823412554629839E-3</v>
      </c>
      <c r="I202" s="36">
        <f t="shared" si="24"/>
        <v>-7.6373244129565206E-3</v>
      </c>
    </row>
    <row r="203" spans="1:9" x14ac:dyDescent="0.3">
      <c r="A203" s="1">
        <v>197</v>
      </c>
      <c r="B203" s="27">
        <v>32747.099609000001</v>
      </c>
      <c r="C203" s="4">
        <v>408.05426</v>
      </c>
      <c r="D203" s="4">
        <v>281.131775</v>
      </c>
      <c r="E203">
        <v>47558.230469000002</v>
      </c>
      <c r="F203" s="34">
        <f t="shared" si="21"/>
        <v>-3.4220060514211899E-2</v>
      </c>
      <c r="G203" s="35">
        <f t="shared" si="22"/>
        <v>1.0493766057589156E-3</v>
      </c>
      <c r="H203" s="35">
        <f t="shared" si="23"/>
        <v>-1.1633323642061624E-3</v>
      </c>
      <c r="I203" s="36">
        <f t="shared" si="24"/>
        <v>-1.2079205990852526E-2</v>
      </c>
    </row>
    <row r="204" spans="1:9" x14ac:dyDescent="0.3">
      <c r="A204" s="1">
        <v>198</v>
      </c>
      <c r="B204" s="27">
        <v>33742.199219000002</v>
      </c>
      <c r="C204" s="4">
        <v>422.13220200000001</v>
      </c>
      <c r="D204" s="4">
        <v>276.19421399999999</v>
      </c>
      <c r="E204">
        <v>47444.050780999998</v>
      </c>
      <c r="F204" s="34">
        <f t="shared" si="21"/>
        <v>2.9934859748846493E-2</v>
      </c>
      <c r="G204" s="35">
        <f t="shared" si="22"/>
        <v>3.3918384099370702E-2</v>
      </c>
      <c r="H204" s="35">
        <f t="shared" si="23"/>
        <v>-1.7719217421124013E-2</v>
      </c>
      <c r="I204" s="36">
        <f t="shared" si="24"/>
        <v>-2.4037263416044475E-3</v>
      </c>
    </row>
    <row r="205" spans="1:9" x14ac:dyDescent="0.3">
      <c r="A205" s="1">
        <v>199</v>
      </c>
      <c r="B205" s="27">
        <v>33400</v>
      </c>
      <c r="C205" s="4">
        <v>408.36346400000002</v>
      </c>
      <c r="D205" s="4">
        <v>281.32427999999999</v>
      </c>
      <c r="E205">
        <v>47739.089844000002</v>
      </c>
      <c r="F205" s="34">
        <f t="shared" si="21"/>
        <v>-1.0193356368394467E-2</v>
      </c>
      <c r="G205" s="35">
        <f t="shared" si="22"/>
        <v>-3.3160918881028803E-2</v>
      </c>
      <c r="H205" s="35">
        <f t="shared" si="23"/>
        <v>1.8403733147482979E-2</v>
      </c>
      <c r="I205" s="36">
        <f t="shared" si="24"/>
        <v>6.1994173756597668E-3</v>
      </c>
    </row>
    <row r="206" spans="1:9" x14ac:dyDescent="0.3">
      <c r="A206" s="1">
        <v>200</v>
      </c>
      <c r="B206" s="27">
        <v>34153.5</v>
      </c>
      <c r="C206" s="4">
        <v>408.960083</v>
      </c>
      <c r="D206" s="4">
        <v>280.86227400000001</v>
      </c>
      <c r="E206">
        <v>48191.570312999997</v>
      </c>
      <c r="F206" s="34">
        <f t="shared" si="21"/>
        <v>2.2309169801537406E-2</v>
      </c>
      <c r="G206" s="35">
        <f t="shared" si="22"/>
        <v>1.4599337267589064E-3</v>
      </c>
      <c r="H206" s="35">
        <f t="shared" si="23"/>
        <v>-1.6436042474489878E-3</v>
      </c>
      <c r="I206" s="36">
        <f t="shared" si="24"/>
        <v>9.4335601121011796E-3</v>
      </c>
    </row>
    <row r="207" spans="1:9" x14ac:dyDescent="0.3">
      <c r="A207" s="1">
        <v>201</v>
      </c>
      <c r="B207" s="27">
        <v>34589.398437999997</v>
      </c>
      <c r="C207" s="4">
        <v>427.110229</v>
      </c>
      <c r="D207" s="4">
        <v>287.99429300000003</v>
      </c>
      <c r="E207">
        <v>47887.949219000002</v>
      </c>
      <c r="F207" s="34">
        <f t="shared" si="21"/>
        <v>1.2682161802323481E-2</v>
      </c>
      <c r="G207" s="35">
        <f t="shared" si="22"/>
        <v>4.342457275233607E-2</v>
      </c>
      <c r="H207" s="35">
        <f t="shared" si="23"/>
        <v>2.5076242899563627E-2</v>
      </c>
      <c r="I207" s="36">
        <f t="shared" si="24"/>
        <v>-6.3202252917841572E-3</v>
      </c>
    </row>
    <row r="208" spans="1:9" x14ac:dyDescent="0.3">
      <c r="A208" s="1">
        <v>202</v>
      </c>
      <c r="B208" s="27">
        <v>33911.5</v>
      </c>
      <c r="C208" s="4">
        <v>436.69329800000003</v>
      </c>
      <c r="D208" s="4">
        <v>287.14730800000001</v>
      </c>
      <c r="E208">
        <v>47024.460937999997</v>
      </c>
      <c r="F208" s="34">
        <f t="shared" si="21"/>
        <v>-1.9793041688280527E-2</v>
      </c>
      <c r="G208" s="35">
        <f t="shared" si="22"/>
        <v>2.2188985998402699E-2</v>
      </c>
      <c r="H208" s="35">
        <f t="shared" si="23"/>
        <v>-2.9453115921957459E-3</v>
      </c>
      <c r="I208" s="36">
        <f t="shared" si="24"/>
        <v>-1.8195978883348646E-2</v>
      </c>
    </row>
    <row r="209" spans="1:9" x14ac:dyDescent="0.3">
      <c r="A209" s="1">
        <v>203</v>
      </c>
      <c r="B209" s="27">
        <v>34020</v>
      </c>
      <c r="C209" s="4">
        <v>425.43221999999997</v>
      </c>
      <c r="D209" s="4">
        <v>290.41015599999997</v>
      </c>
      <c r="E209">
        <v>47437.449219000002</v>
      </c>
      <c r="F209" s="34">
        <f t="shared" si="21"/>
        <v>3.1943970694806412E-3</v>
      </c>
      <c r="G209" s="35">
        <f t="shared" si="22"/>
        <v>-2.6125473076147619E-2</v>
      </c>
      <c r="H209" s="35">
        <f t="shared" si="23"/>
        <v>1.1298902415720399E-2</v>
      </c>
      <c r="I209" s="36">
        <f t="shared" si="24"/>
        <v>8.7440728584242677E-3</v>
      </c>
    </row>
    <row r="210" spans="1:9" x14ac:dyDescent="0.3">
      <c r="A210" s="1">
        <v>204</v>
      </c>
      <c r="B210" s="27">
        <v>34800</v>
      </c>
      <c r="C210" s="4">
        <v>419.130493</v>
      </c>
      <c r="D210" s="4">
        <v>290.00585899999999</v>
      </c>
      <c r="E210">
        <v>46962.738280999998</v>
      </c>
      <c r="F210" s="34">
        <f t="shared" si="21"/>
        <v>2.2668799812712893E-2</v>
      </c>
      <c r="G210" s="35">
        <f t="shared" si="22"/>
        <v>-1.4923329801673263E-2</v>
      </c>
      <c r="H210" s="35">
        <f t="shared" si="23"/>
        <v>-1.3931285662009607E-3</v>
      </c>
      <c r="I210" s="36">
        <f t="shared" si="24"/>
        <v>-1.0057499929046443E-2</v>
      </c>
    </row>
    <row r="211" spans="1:9" x14ac:dyDescent="0.3">
      <c r="A211" s="1">
        <v>205</v>
      </c>
      <c r="B211" s="27">
        <v>34100</v>
      </c>
      <c r="C211" s="4">
        <v>418.54321299999998</v>
      </c>
      <c r="D211" s="4">
        <v>290.96835299999998</v>
      </c>
      <c r="E211">
        <v>46449.03125</v>
      </c>
      <c r="F211" s="34">
        <f t="shared" si="21"/>
        <v>-2.0320002490957494E-2</v>
      </c>
      <c r="G211" s="35">
        <f t="shared" si="22"/>
        <v>-1.4021691071675257E-3</v>
      </c>
      <c r="H211" s="35">
        <f t="shared" si="23"/>
        <v>3.313382455473969E-3</v>
      </c>
      <c r="I211" s="36">
        <f t="shared" si="24"/>
        <v>-1.0998875460533217E-2</v>
      </c>
    </row>
    <row r="212" spans="1:9" x14ac:dyDescent="0.3">
      <c r="A212" s="1">
        <v>206</v>
      </c>
      <c r="B212" s="27">
        <v>32872.101562999997</v>
      </c>
      <c r="C212" s="4">
        <v>419.31692500000003</v>
      </c>
      <c r="D212" s="4">
        <v>290.10214200000001</v>
      </c>
      <c r="E212">
        <v>45959.039062999997</v>
      </c>
      <c r="F212" s="34">
        <f t="shared" si="21"/>
        <v>-3.6673063062368991E-2</v>
      </c>
      <c r="G212" s="35">
        <f t="shared" si="22"/>
        <v>1.8468767872681273E-3</v>
      </c>
      <c r="H212" s="35">
        <f t="shared" si="23"/>
        <v>-2.981433919276571E-3</v>
      </c>
      <c r="I212" s="36">
        <f t="shared" si="24"/>
        <v>-1.060506463725829E-2</v>
      </c>
    </row>
    <row r="213" spans="1:9" x14ac:dyDescent="0.3">
      <c r="A213" s="1">
        <v>207</v>
      </c>
      <c r="B213" s="27">
        <v>34720.601562999997</v>
      </c>
      <c r="C213" s="4">
        <v>426.233948</v>
      </c>
      <c r="D213" s="4">
        <v>289.64013699999998</v>
      </c>
      <c r="E213">
        <v>46275.710937999997</v>
      </c>
      <c r="F213" s="34">
        <f t="shared" si="21"/>
        <v>5.470889453822346E-2</v>
      </c>
      <c r="G213" s="35">
        <f t="shared" si="22"/>
        <v>1.6361350981647878E-2</v>
      </c>
      <c r="H213" s="35">
        <f t="shared" si="23"/>
        <v>-1.5938292394311662E-3</v>
      </c>
      <c r="I213" s="36">
        <f t="shared" si="24"/>
        <v>6.8666770232528804E-3</v>
      </c>
    </row>
    <row r="214" spans="1:9" x14ac:dyDescent="0.3">
      <c r="A214" s="1">
        <v>208</v>
      </c>
      <c r="B214" s="27">
        <v>31715.400390999999</v>
      </c>
      <c r="C214" s="4">
        <v>447.32049599999999</v>
      </c>
      <c r="D214" s="4">
        <v>291.362976</v>
      </c>
      <c r="E214">
        <v>45803.328125</v>
      </c>
      <c r="F214" s="34">
        <f t="shared" si="21"/>
        <v>-9.0530836102053272E-2</v>
      </c>
      <c r="G214" s="35">
        <f t="shared" si="22"/>
        <v>4.8286961747673954E-2</v>
      </c>
      <c r="H214" s="35">
        <f t="shared" si="23"/>
        <v>5.9305845736983866E-3</v>
      </c>
      <c r="I214" s="36">
        <f t="shared" si="24"/>
        <v>-1.0260466704702901E-2</v>
      </c>
    </row>
    <row r="215" spans="1:9" x14ac:dyDescent="0.3">
      <c r="A215" s="1">
        <v>209</v>
      </c>
      <c r="B215" s="27">
        <v>30476.400390999999</v>
      </c>
      <c r="C215" s="4">
        <v>436.11535600000002</v>
      </c>
      <c r="D215" s="4">
        <v>291.54586799999998</v>
      </c>
      <c r="E215">
        <v>43879.128905999998</v>
      </c>
      <c r="F215" s="34">
        <f t="shared" si="21"/>
        <v>-3.9849753227011446E-2</v>
      </c>
      <c r="G215" s="35">
        <f t="shared" si="22"/>
        <v>-2.536854464916526E-2</v>
      </c>
      <c r="H215" s="35">
        <f t="shared" si="23"/>
        <v>6.2751494640729479E-4</v>
      </c>
      <c r="I215" s="36">
        <f t="shared" si="24"/>
        <v>-4.291797148678949E-2</v>
      </c>
    </row>
    <row r="216" spans="1:9" x14ac:dyDescent="0.3">
      <c r="A216" s="1">
        <v>210</v>
      </c>
      <c r="B216" s="27">
        <v>30553</v>
      </c>
      <c r="C216" s="4">
        <v>427.31530800000002</v>
      </c>
      <c r="D216" s="4">
        <v>289.35137900000001</v>
      </c>
      <c r="E216">
        <v>43538.121094000002</v>
      </c>
      <c r="F216" s="34">
        <f t="shared" si="21"/>
        <v>2.5102540327389105E-3</v>
      </c>
      <c r="G216" s="35">
        <f t="shared" si="22"/>
        <v>-2.038461938047895E-2</v>
      </c>
      <c r="H216" s="35">
        <f t="shared" si="23"/>
        <v>-7.5555511785878283E-3</v>
      </c>
      <c r="I216" s="36">
        <f t="shared" si="24"/>
        <v>-7.8018821626699587E-3</v>
      </c>
    </row>
    <row r="217" spans="1:9" x14ac:dyDescent="0.3">
      <c r="A217" s="1">
        <v>211</v>
      </c>
      <c r="B217" s="27">
        <v>32550.900390999999</v>
      </c>
      <c r="C217" s="4">
        <v>436.60940599999998</v>
      </c>
      <c r="D217" s="4">
        <v>287.35906999999997</v>
      </c>
      <c r="E217">
        <v>43942.550780999998</v>
      </c>
      <c r="F217" s="34">
        <f t="shared" si="21"/>
        <v>6.3342149584872331E-2</v>
      </c>
      <c r="G217" s="35">
        <f t="shared" si="22"/>
        <v>2.1516820675292207E-2</v>
      </c>
      <c r="H217" s="35">
        <f t="shared" si="23"/>
        <v>-6.9092451129695847E-3</v>
      </c>
      <c r="I217" s="36">
        <f t="shared" si="24"/>
        <v>9.246215412760328E-3</v>
      </c>
    </row>
    <row r="218" spans="1:9" x14ac:dyDescent="0.3">
      <c r="A218" s="1">
        <v>212</v>
      </c>
      <c r="B218" s="27">
        <v>33565.601562999997</v>
      </c>
      <c r="C218" s="4">
        <v>423.00848400000001</v>
      </c>
      <c r="D218" s="4">
        <v>280.756439</v>
      </c>
      <c r="E218">
        <v>45446.828125</v>
      </c>
      <c r="F218" s="34">
        <f t="shared" si="21"/>
        <v>3.0696749506047352E-2</v>
      </c>
      <c r="G218" s="35">
        <f t="shared" si="22"/>
        <v>-3.1646752048184318E-2</v>
      </c>
      <c r="H218" s="35">
        <f t="shared" si="23"/>
        <v>-2.3245020398925904E-2</v>
      </c>
      <c r="I218" s="36">
        <f t="shared" si="24"/>
        <v>3.3659913231278038E-2</v>
      </c>
    </row>
    <row r="219" spans="1:9" x14ac:dyDescent="0.3">
      <c r="A219" s="1">
        <v>213</v>
      </c>
      <c r="B219" s="27">
        <v>32500</v>
      </c>
      <c r="C219" s="4">
        <v>443.88995399999999</v>
      </c>
      <c r="D219" s="4">
        <v>277.66683999999998</v>
      </c>
      <c r="E219">
        <v>46817.359375</v>
      </c>
      <c r="F219" s="34">
        <f t="shared" si="21"/>
        <v>-3.2261690224227778E-2</v>
      </c>
      <c r="G219" s="35">
        <f t="shared" si="22"/>
        <v>4.8184444777918084E-2</v>
      </c>
      <c r="H219" s="35">
        <f t="shared" si="23"/>
        <v>-1.1065550602859252E-2</v>
      </c>
      <c r="I219" s="36">
        <f t="shared" si="24"/>
        <v>2.9711031004142494E-2</v>
      </c>
    </row>
    <row r="220" spans="1:9" x14ac:dyDescent="0.3">
      <c r="A220" s="1">
        <v>214</v>
      </c>
      <c r="B220" s="27">
        <v>32420</v>
      </c>
      <c r="C220" s="4">
        <v>452.90441900000002</v>
      </c>
      <c r="D220" s="4">
        <v>293.95205700000002</v>
      </c>
      <c r="E220">
        <v>46328.351562999997</v>
      </c>
      <c r="F220" s="34">
        <f t="shared" si="21"/>
        <v>-2.4645730281618108E-3</v>
      </c>
      <c r="G220" s="35">
        <f t="shared" si="22"/>
        <v>2.0104427274694043E-2</v>
      </c>
      <c r="H220" s="35">
        <f t="shared" si="23"/>
        <v>5.69947048642813E-2</v>
      </c>
      <c r="I220" s="36">
        <f t="shared" si="24"/>
        <v>-1.0499942504648788E-2</v>
      </c>
    </row>
    <row r="221" spans="1:9" x14ac:dyDescent="0.3">
      <c r="A221" s="1">
        <v>215</v>
      </c>
      <c r="B221" s="27">
        <v>34775.601562999997</v>
      </c>
      <c r="C221" s="4">
        <v>461.37820399999998</v>
      </c>
      <c r="D221" s="4">
        <v>292.335083</v>
      </c>
      <c r="E221">
        <v>46917.398437999997</v>
      </c>
      <c r="F221" s="34">
        <f t="shared" si="21"/>
        <v>7.0140520072700482E-2</v>
      </c>
      <c r="G221" s="35">
        <f t="shared" si="22"/>
        <v>1.8536998150200878E-2</v>
      </c>
      <c r="H221" s="35">
        <f t="shared" si="23"/>
        <v>-5.5159937496180502E-3</v>
      </c>
      <c r="I221" s="36">
        <f t="shared" si="24"/>
        <v>1.2634457028756003E-2</v>
      </c>
    </row>
    <row r="222" spans="1:9" x14ac:dyDescent="0.3">
      <c r="A222" s="1">
        <v>216</v>
      </c>
      <c r="B222" s="27">
        <v>35290</v>
      </c>
      <c r="C222" s="4">
        <v>521.14209000000005</v>
      </c>
      <c r="D222" s="4">
        <v>292.96072400000003</v>
      </c>
      <c r="E222">
        <v>44190.25</v>
      </c>
      <c r="F222" s="34">
        <f t="shared" si="21"/>
        <v>1.4683601306948357E-2</v>
      </c>
      <c r="G222" s="35">
        <f t="shared" si="22"/>
        <v>0.12180462431280564</v>
      </c>
      <c r="H222" s="35">
        <f t="shared" si="23"/>
        <v>2.1378633873894381E-3</v>
      </c>
      <c r="I222" s="36">
        <f t="shared" si="24"/>
        <v>-5.9884398972407757E-2</v>
      </c>
    </row>
    <row r="223" spans="1:9" x14ac:dyDescent="0.3">
      <c r="A223" s="1">
        <v>217</v>
      </c>
      <c r="B223" s="27">
        <v>34588.101562999997</v>
      </c>
      <c r="C223" s="4">
        <v>501.62158199999999</v>
      </c>
      <c r="D223" s="4">
        <v>282.51776100000001</v>
      </c>
      <c r="E223">
        <v>44263.738280999998</v>
      </c>
      <c r="F223" s="34">
        <f t="shared" si="21"/>
        <v>-2.0089900228092757E-2</v>
      </c>
      <c r="G223" s="35">
        <f t="shared" si="22"/>
        <v>-3.8176715389456647E-2</v>
      </c>
      <c r="H223" s="35">
        <f t="shared" si="23"/>
        <v>-3.6297132843620468E-2</v>
      </c>
      <c r="I223" s="36">
        <f t="shared" si="24"/>
        <v>1.6616163801406864E-3</v>
      </c>
    </row>
    <row r="224" spans="1:9" x14ac:dyDescent="0.3">
      <c r="A224" s="1">
        <v>218</v>
      </c>
      <c r="B224" s="27">
        <v>33450</v>
      </c>
      <c r="C224" s="4">
        <v>449.14761399999998</v>
      </c>
      <c r="D224" s="4">
        <v>270.890961</v>
      </c>
      <c r="E224">
        <v>43310.011719000002</v>
      </c>
      <c r="F224" s="34">
        <f t="shared" si="21"/>
        <v>-3.3457950884848514E-2</v>
      </c>
      <c r="G224" s="35">
        <f t="shared" si="22"/>
        <v>-0.11049441930427395</v>
      </c>
      <c r="H224" s="35">
        <f t="shared" si="23"/>
        <v>-4.20250374282213E-2</v>
      </c>
      <c r="I224" s="36">
        <f t="shared" si="24"/>
        <v>-2.1781967084676189E-2</v>
      </c>
    </row>
    <row r="225" spans="1:9" x14ac:dyDescent="0.3">
      <c r="A225" s="1">
        <v>219</v>
      </c>
      <c r="B225" s="27">
        <v>33460</v>
      </c>
      <c r="C225" s="4">
        <v>440.39419600000002</v>
      </c>
      <c r="D225" s="4">
        <v>286.040436</v>
      </c>
      <c r="E225">
        <v>42421.328125</v>
      </c>
      <c r="F225" s="34">
        <f t="shared" si="21"/>
        <v>2.9890898444056131E-4</v>
      </c>
      <c r="G225" s="35">
        <f t="shared" si="22"/>
        <v>-1.9681369571185946E-2</v>
      </c>
      <c r="H225" s="35">
        <f t="shared" si="23"/>
        <v>5.4416803462925621E-2</v>
      </c>
      <c r="I225" s="36">
        <f t="shared" si="24"/>
        <v>-2.073256822977259E-2</v>
      </c>
    </row>
    <row r="226" spans="1:9" x14ac:dyDescent="0.3">
      <c r="A226" s="1">
        <v>220</v>
      </c>
      <c r="B226" s="27">
        <v>32700</v>
      </c>
      <c r="C226" s="4">
        <v>410.06942700000002</v>
      </c>
      <c r="D226" s="4">
        <v>289.89038099999999</v>
      </c>
      <c r="E226">
        <v>42343.960937999997</v>
      </c>
      <c r="F226" s="34">
        <f t="shared" si="21"/>
        <v>-2.2975617655470234E-2</v>
      </c>
      <c r="G226" s="35">
        <f t="shared" si="22"/>
        <v>-7.1343746324148388E-2</v>
      </c>
      <c r="H226" s="35">
        <f t="shared" si="23"/>
        <v>1.3369669528716443E-2</v>
      </c>
      <c r="I226" s="36">
        <f t="shared" si="24"/>
        <v>-1.8254455175964516E-3</v>
      </c>
    </row>
    <row r="227" spans="1:9" x14ac:dyDescent="0.3">
      <c r="A227" s="1">
        <v>221</v>
      </c>
      <c r="B227" s="27">
        <v>32640</v>
      </c>
      <c r="C227" s="4">
        <v>425.87966899999998</v>
      </c>
      <c r="D227" s="4">
        <v>289.74600199999998</v>
      </c>
      <c r="E227">
        <v>41450.648437999997</v>
      </c>
      <c r="F227" s="34">
        <f t="shared" si="21"/>
        <v>-1.8365478073013922E-3</v>
      </c>
      <c r="G227" s="35">
        <f t="shared" si="22"/>
        <v>3.7830359722577804E-2</v>
      </c>
      <c r="H227" s="35">
        <f t="shared" si="23"/>
        <v>-4.9817094723657903E-4</v>
      </c>
      <c r="I227" s="36">
        <f t="shared" si="24"/>
        <v>-2.1322286744277944E-2</v>
      </c>
    </row>
    <row r="228" spans="1:9" x14ac:dyDescent="0.3">
      <c r="A228" s="1">
        <v>222</v>
      </c>
      <c r="B228" s="27">
        <v>32221.699218999998</v>
      </c>
      <c r="C228" s="4">
        <v>412.390625</v>
      </c>
      <c r="D228" s="4">
        <v>292.44094799999999</v>
      </c>
      <c r="E228">
        <v>42319.269530999998</v>
      </c>
      <c r="F228" s="34">
        <f t="shared" si="21"/>
        <v>-1.2898415717815061E-2</v>
      </c>
      <c r="G228" s="35">
        <f t="shared" si="22"/>
        <v>-3.218582013115847E-2</v>
      </c>
      <c r="H228" s="35">
        <f t="shared" si="23"/>
        <v>9.2580750876097573E-3</v>
      </c>
      <c r="I228" s="36">
        <f t="shared" si="24"/>
        <v>2.0739001472424762E-2</v>
      </c>
    </row>
    <row r="229" spans="1:9" x14ac:dyDescent="0.3">
      <c r="A229" s="1">
        <v>223</v>
      </c>
      <c r="B229" s="27">
        <v>30559.300781000002</v>
      </c>
      <c r="C229" s="4">
        <v>413.22027600000001</v>
      </c>
      <c r="D229" s="4">
        <v>295.54980499999999</v>
      </c>
      <c r="E229">
        <v>41797.371094000002</v>
      </c>
      <c r="F229" s="34">
        <f t="shared" si="21"/>
        <v>-5.2971030544406876E-2</v>
      </c>
      <c r="G229" s="35">
        <f t="shared" si="22"/>
        <v>2.009787608808935E-3</v>
      </c>
      <c r="H229" s="35">
        <f t="shared" si="23"/>
        <v>1.0574608372858663E-2</v>
      </c>
      <c r="I229" s="36">
        <f t="shared" si="24"/>
        <v>-1.2409081726580123E-2</v>
      </c>
    </row>
    <row r="230" spans="1:9" x14ac:dyDescent="0.3">
      <c r="A230" s="1">
        <v>224</v>
      </c>
      <c r="B230" s="27">
        <v>30808</v>
      </c>
      <c r="C230" s="4">
        <v>395.42443800000001</v>
      </c>
      <c r="D230" s="4">
        <v>299.36120599999998</v>
      </c>
      <c r="E230">
        <v>41499.929687999997</v>
      </c>
      <c r="F230" s="34">
        <f t="shared" si="21"/>
        <v>8.1053126789234885E-3</v>
      </c>
      <c r="G230" s="35">
        <f t="shared" si="22"/>
        <v>-4.4021092116583636E-2</v>
      </c>
      <c r="H230" s="35">
        <f t="shared" si="23"/>
        <v>1.2813523628676621E-2</v>
      </c>
      <c r="I230" s="36">
        <f t="shared" si="24"/>
        <v>-7.1417120946999247E-3</v>
      </c>
    </row>
    <row r="231" spans="1:9" x14ac:dyDescent="0.3">
      <c r="A231" s="1">
        <v>225</v>
      </c>
      <c r="B231" s="27">
        <v>30808</v>
      </c>
      <c r="C231" s="4">
        <v>395.85324100000003</v>
      </c>
      <c r="D231" s="4">
        <v>298.75485200000003</v>
      </c>
      <c r="E231">
        <v>41271.121094000002</v>
      </c>
      <c r="F231" s="34">
        <f t="shared" si="21"/>
        <v>0</v>
      </c>
      <c r="G231" s="35">
        <f t="shared" si="22"/>
        <v>1.0838244357336355E-3</v>
      </c>
      <c r="H231" s="35">
        <f t="shared" si="23"/>
        <v>-2.0275469939782542E-3</v>
      </c>
      <c r="I231" s="36">
        <f t="shared" si="24"/>
        <v>-5.5287247091050781E-3</v>
      </c>
    </row>
    <row r="232" spans="1:9" x14ac:dyDescent="0.3">
      <c r="A232" s="1">
        <v>226</v>
      </c>
      <c r="B232" s="27">
        <v>30670.400390999999</v>
      </c>
      <c r="C232" s="4">
        <v>398.54733299999998</v>
      </c>
      <c r="D232" s="4">
        <v>297.37851000000001</v>
      </c>
      <c r="E232">
        <v>41144.328125</v>
      </c>
      <c r="F232" s="34">
        <f t="shared" si="21"/>
        <v>-4.4763636624010296E-3</v>
      </c>
      <c r="G232" s="35">
        <f t="shared" si="22"/>
        <v>6.78273006525587E-3</v>
      </c>
      <c r="H232" s="35">
        <f t="shared" si="23"/>
        <v>-4.6175722858688099E-3</v>
      </c>
      <c r="I232" s="36">
        <f t="shared" si="24"/>
        <v>-3.0769247813494899E-3</v>
      </c>
    </row>
    <row r="233" spans="1:9" x14ac:dyDescent="0.3">
      <c r="A233" s="1">
        <v>227</v>
      </c>
      <c r="B233" s="27">
        <v>32576.900390999999</v>
      </c>
      <c r="C233" s="4">
        <v>402.91006499999997</v>
      </c>
      <c r="D233" s="4">
        <v>295.87701399999997</v>
      </c>
      <c r="E233">
        <v>39427.28125</v>
      </c>
      <c r="F233" s="34">
        <f t="shared" si="21"/>
        <v>6.0305427399957812E-2</v>
      </c>
      <c r="G233" s="35">
        <f t="shared" si="22"/>
        <v>1.0887104176310171E-2</v>
      </c>
      <c r="H233" s="35">
        <f t="shared" si="23"/>
        <v>-5.0618970925696595E-3</v>
      </c>
      <c r="I233" s="36">
        <f t="shared" si="24"/>
        <v>-4.2628089273529346E-2</v>
      </c>
    </row>
    <row r="234" spans="1:9" x14ac:dyDescent="0.3">
      <c r="A234" s="1">
        <v>228</v>
      </c>
      <c r="B234" s="27">
        <v>32381.599609000001</v>
      </c>
      <c r="C234" s="4">
        <v>411.02960200000001</v>
      </c>
      <c r="D234" s="4">
        <v>298.22549400000003</v>
      </c>
      <c r="E234">
        <v>39807.28125</v>
      </c>
      <c r="F234" s="34">
        <f t="shared" si="21"/>
        <v>-6.0131120781910172E-3</v>
      </c>
      <c r="G234" s="35">
        <f t="shared" si="22"/>
        <v>1.9951862963276265E-2</v>
      </c>
      <c r="H234" s="35">
        <f t="shared" si="23"/>
        <v>7.9060168944875015E-3</v>
      </c>
      <c r="I234" s="36">
        <f t="shared" si="24"/>
        <v>9.5918473315432899E-3</v>
      </c>
    </row>
    <row r="235" spans="1:9" x14ac:dyDescent="0.3">
      <c r="A235" s="1">
        <v>229</v>
      </c>
      <c r="B235" s="27">
        <v>33992</v>
      </c>
      <c r="C235" s="4">
        <v>401.38125600000001</v>
      </c>
      <c r="D235" s="4">
        <v>291.35333300000002</v>
      </c>
      <c r="E235">
        <v>40989.480469000002</v>
      </c>
      <c r="F235" s="34">
        <f t="shared" si="21"/>
        <v>4.8534854640536841E-2</v>
      </c>
      <c r="G235" s="35">
        <f t="shared" si="22"/>
        <v>-2.3753497523620756E-2</v>
      </c>
      <c r="H235" s="35">
        <f t="shared" si="23"/>
        <v>-2.3313158261442344E-2</v>
      </c>
      <c r="I235" s="36">
        <f t="shared" si="24"/>
        <v>2.9265618319040874E-2</v>
      </c>
    </row>
    <row r="236" spans="1:9" x14ac:dyDescent="0.3">
      <c r="A236" s="1">
        <v>230</v>
      </c>
      <c r="B236" s="27">
        <v>33962</v>
      </c>
      <c r="C236" s="4">
        <v>411.83126800000002</v>
      </c>
      <c r="D236" s="4">
        <v>286.030823</v>
      </c>
      <c r="E236">
        <v>41913.449219000002</v>
      </c>
      <c r="F236" s="34">
        <f t="shared" si="21"/>
        <v>-8.8295028840105843E-4</v>
      </c>
      <c r="G236" s="35">
        <f t="shared" si="22"/>
        <v>2.5701983064398776E-2</v>
      </c>
      <c r="H236" s="35">
        <f t="shared" si="23"/>
        <v>-1.8437155632565407E-2</v>
      </c>
      <c r="I236" s="36">
        <f t="shared" si="24"/>
        <v>2.2291299314089474E-2</v>
      </c>
    </row>
    <row r="237" spans="1:9" x14ac:dyDescent="0.3">
      <c r="A237" s="1">
        <v>231</v>
      </c>
      <c r="B237" s="27">
        <v>34498.601562999997</v>
      </c>
      <c r="C237" s="4">
        <v>415.08468599999998</v>
      </c>
      <c r="D237" s="4">
        <v>289.31286599999999</v>
      </c>
      <c r="E237">
        <v>41732.78125</v>
      </c>
      <c r="F237" s="34">
        <f t="shared" si="21"/>
        <v>1.5676536285866165E-2</v>
      </c>
      <c r="G237" s="35">
        <f t="shared" si="22"/>
        <v>7.8688402890648625E-3</v>
      </c>
      <c r="H237" s="35">
        <f t="shared" si="23"/>
        <v>1.1409106118676073E-2</v>
      </c>
      <c r="I237" s="36">
        <f t="shared" si="24"/>
        <v>-4.3198180943261021E-3</v>
      </c>
    </row>
    <row r="238" spans="1:9" x14ac:dyDescent="0.3">
      <c r="A238" s="1">
        <v>232</v>
      </c>
      <c r="B238" s="27">
        <v>36037.898437999997</v>
      </c>
      <c r="C238" s="4">
        <v>408.02786300000002</v>
      </c>
      <c r="D238" s="4">
        <v>279.45706200000001</v>
      </c>
      <c r="E238">
        <v>42081.78125</v>
      </c>
      <c r="F238" s="34">
        <f t="shared" si="21"/>
        <v>4.3652330298767195E-2</v>
      </c>
      <c r="G238" s="35">
        <f t="shared" si="22"/>
        <v>-1.7147098324291316E-2</v>
      </c>
      <c r="H238" s="35">
        <f t="shared" si="23"/>
        <v>-3.4660027394169582E-2</v>
      </c>
      <c r="I238" s="36">
        <f t="shared" si="24"/>
        <v>8.3279565425920417E-3</v>
      </c>
    </row>
    <row r="239" spans="1:9" x14ac:dyDescent="0.3">
      <c r="A239" s="1">
        <v>233</v>
      </c>
      <c r="B239" s="27">
        <v>34249</v>
      </c>
      <c r="C239" s="4">
        <v>401.72616599999998</v>
      </c>
      <c r="D239" s="4">
        <v>283.83633400000002</v>
      </c>
      <c r="E239">
        <v>41865.070312999997</v>
      </c>
      <c r="F239" s="34">
        <f t="shared" si="21"/>
        <v>-5.0913751907043434E-2</v>
      </c>
      <c r="G239" s="35">
        <f t="shared" si="22"/>
        <v>-1.5564786332412173E-2</v>
      </c>
      <c r="H239" s="35">
        <f t="shared" si="23"/>
        <v>1.5549126846067135E-2</v>
      </c>
      <c r="I239" s="36">
        <f t="shared" si="24"/>
        <v>-5.1630624466315099E-3</v>
      </c>
    </row>
    <row r="240" spans="1:9" x14ac:dyDescent="0.3">
      <c r="A240" s="1">
        <v>234</v>
      </c>
      <c r="B240" s="27">
        <v>34249</v>
      </c>
      <c r="C240" s="4">
        <v>408.58718900000002</v>
      </c>
      <c r="D240" s="4">
        <v>282.73913599999997</v>
      </c>
      <c r="E240">
        <v>41895.269530999998</v>
      </c>
      <c r="F240" s="34">
        <f t="shared" si="21"/>
        <v>0</v>
      </c>
      <c r="G240" s="35">
        <f t="shared" si="22"/>
        <v>1.6934651083487077E-2</v>
      </c>
      <c r="H240" s="35">
        <f t="shared" si="23"/>
        <v>-3.8730916874107953E-3</v>
      </c>
      <c r="I240" s="36">
        <f t="shared" si="24"/>
        <v>7.2108636055658298E-4</v>
      </c>
    </row>
    <row r="241" spans="1:9" x14ac:dyDescent="0.3">
      <c r="A241" s="1">
        <v>235</v>
      </c>
      <c r="B241" s="27">
        <v>34492</v>
      </c>
      <c r="C241" s="4">
        <v>403.45077500000002</v>
      </c>
      <c r="D241" s="4">
        <v>289.42837500000002</v>
      </c>
      <c r="E241">
        <v>41987</v>
      </c>
      <c r="F241" s="34">
        <f t="shared" si="21"/>
        <v>7.0700458883787218E-3</v>
      </c>
      <c r="G241" s="35">
        <f t="shared" si="22"/>
        <v>-1.2650843265501048E-2</v>
      </c>
      <c r="H241" s="35">
        <f t="shared" si="23"/>
        <v>2.3383165452663751E-2</v>
      </c>
      <c r="I241" s="36">
        <f t="shared" si="24"/>
        <v>2.1871250284251952E-3</v>
      </c>
    </row>
    <row r="242" spans="1:9" x14ac:dyDescent="0.3">
      <c r="A242" s="1">
        <v>236</v>
      </c>
      <c r="B242" s="27">
        <v>33033.300780999998</v>
      </c>
      <c r="C242" s="4">
        <v>405.74395800000002</v>
      </c>
      <c r="D242" s="4">
        <v>288.10977200000002</v>
      </c>
      <c r="E242">
        <v>41870.128905999998</v>
      </c>
      <c r="F242" s="34">
        <f t="shared" si="21"/>
        <v>-4.3211245861681589E-2</v>
      </c>
      <c r="G242" s="35">
        <f t="shared" si="22"/>
        <v>5.6678301164982152E-3</v>
      </c>
      <c r="H242" s="35">
        <f t="shared" si="23"/>
        <v>-4.5662967824325346E-3</v>
      </c>
      <c r="I242" s="36">
        <f t="shared" si="24"/>
        <v>-2.7873878153033861E-3</v>
      </c>
    </row>
    <row r="243" spans="1:9" x14ac:dyDescent="0.3">
      <c r="A243" s="1">
        <v>237</v>
      </c>
      <c r="B243" s="27">
        <v>33429.699219000002</v>
      </c>
      <c r="C243" s="4">
        <v>403.38549799999998</v>
      </c>
      <c r="D243" s="4">
        <v>295.771118</v>
      </c>
      <c r="E243">
        <v>41356.039062999997</v>
      </c>
      <c r="F243" s="34">
        <f t="shared" si="21"/>
        <v>1.1928535825413955E-2</v>
      </c>
      <c r="G243" s="35">
        <f t="shared" si="22"/>
        <v>-5.8296398970618859E-3</v>
      </c>
      <c r="H243" s="35">
        <f t="shared" si="23"/>
        <v>2.6244344918620918E-2</v>
      </c>
      <c r="I243" s="36">
        <f t="shared" si="24"/>
        <v>-1.235420046756028E-2</v>
      </c>
    </row>
    <row r="244" spans="1:9" x14ac:dyDescent="0.3">
      <c r="A244" s="1">
        <v>238</v>
      </c>
      <c r="B244" s="27">
        <v>33424</v>
      </c>
      <c r="C244" s="4">
        <v>400.84991500000001</v>
      </c>
      <c r="D244" s="4">
        <v>294.28894000000003</v>
      </c>
      <c r="E244">
        <v>40897.851562999997</v>
      </c>
      <c r="F244" s="34">
        <f t="shared" si="21"/>
        <v>-1.7049823960041082E-4</v>
      </c>
      <c r="G244" s="35">
        <f t="shared" si="22"/>
        <v>-6.3055950045256886E-3</v>
      </c>
      <c r="H244" s="35">
        <f t="shared" si="23"/>
        <v>-5.0238313787880273E-3</v>
      </c>
      <c r="I244" s="36">
        <f t="shared" si="24"/>
        <v>-1.1140925631545853E-2</v>
      </c>
    </row>
    <row r="245" spans="1:9" x14ac:dyDescent="0.3">
      <c r="A245" s="1">
        <v>239</v>
      </c>
      <c r="B245" s="27">
        <v>33461</v>
      </c>
      <c r="C245" s="4">
        <v>401.073578</v>
      </c>
      <c r="D245" s="4">
        <v>291.834564</v>
      </c>
      <c r="E245">
        <v>41512.511719000002</v>
      </c>
      <c r="F245" s="34">
        <f t="shared" si="21"/>
        <v>1.1063767294374942E-3</v>
      </c>
      <c r="G245" s="35">
        <f t="shared" si="22"/>
        <v>5.5781631976600213E-4</v>
      </c>
      <c r="H245" s="35">
        <f t="shared" si="23"/>
        <v>-8.3749937655372784E-3</v>
      </c>
      <c r="I245" s="36">
        <f t="shared" si="24"/>
        <v>1.4917336356283348E-2</v>
      </c>
    </row>
    <row r="246" spans="1:9" x14ac:dyDescent="0.3">
      <c r="A246" s="1">
        <v>240</v>
      </c>
      <c r="B246" s="27">
        <v>32108.300781000002</v>
      </c>
      <c r="C246" s="4">
        <v>380.70483400000001</v>
      </c>
      <c r="D246" s="4">
        <v>287.80178799999999</v>
      </c>
      <c r="E246">
        <v>41312.171875</v>
      </c>
      <c r="F246" s="34">
        <f t="shared" si="21"/>
        <v>-4.126599352823565E-2</v>
      </c>
      <c r="G246" s="35">
        <f t="shared" si="22"/>
        <v>-5.2120535789270867E-2</v>
      </c>
      <c r="H246" s="35">
        <f t="shared" si="23"/>
        <v>-1.3915072986110701E-2</v>
      </c>
      <c r="I246" s="36">
        <f t="shared" si="24"/>
        <v>-4.8376939343203916E-3</v>
      </c>
    </row>
    <row r="247" spans="1:9" x14ac:dyDescent="0.3">
      <c r="A247" s="1">
        <v>241</v>
      </c>
      <c r="B247" s="27">
        <v>30423.699218999998</v>
      </c>
      <c r="C247" s="4">
        <v>361.42675800000001</v>
      </c>
      <c r="D247" s="4">
        <v>287.541901</v>
      </c>
      <c r="E247">
        <v>40340.511719000002</v>
      </c>
      <c r="F247" s="34">
        <f t="shared" si="21"/>
        <v>-5.3892703745186246E-2</v>
      </c>
      <c r="G247" s="35">
        <f t="shared" si="22"/>
        <v>-5.1964945707677117E-2</v>
      </c>
      <c r="H247" s="35">
        <f t="shared" si="23"/>
        <v>-9.0341485496244498E-4</v>
      </c>
      <c r="I247" s="36">
        <f t="shared" si="24"/>
        <v>-2.3800957472192151E-2</v>
      </c>
    </row>
    <row r="248" spans="1:9" x14ac:dyDescent="0.3">
      <c r="A248" s="1">
        <v>242</v>
      </c>
      <c r="B248" s="27">
        <v>31223</v>
      </c>
      <c r="C248" s="4">
        <v>363.71069299999999</v>
      </c>
      <c r="D248" s="4">
        <v>290.13098100000002</v>
      </c>
      <c r="E248">
        <v>40917.570312999997</v>
      </c>
      <c r="F248" s="34">
        <f t="shared" si="21"/>
        <v>2.5933118449054656E-2</v>
      </c>
      <c r="G248" s="35">
        <f t="shared" si="22"/>
        <v>6.2993369032871343E-3</v>
      </c>
      <c r="H248" s="35">
        <f t="shared" si="23"/>
        <v>8.9638874074776734E-3</v>
      </c>
      <c r="I248" s="36">
        <f t="shared" si="24"/>
        <v>1.4203345208594408E-2</v>
      </c>
    </row>
    <row r="249" spans="1:9" x14ac:dyDescent="0.3">
      <c r="A249" s="1">
        <v>243</v>
      </c>
      <c r="B249" s="27">
        <v>30185</v>
      </c>
      <c r="C249" s="4">
        <v>354.81735200000003</v>
      </c>
      <c r="D249" s="4">
        <v>289.97699</v>
      </c>
      <c r="E249">
        <v>41388.28125</v>
      </c>
      <c r="F249" s="34">
        <f t="shared" si="21"/>
        <v>-3.3809890470890815E-2</v>
      </c>
      <c r="G249" s="35">
        <f t="shared" si="22"/>
        <v>-2.4755596499948292E-2</v>
      </c>
      <c r="H249" s="35">
        <f t="shared" si="23"/>
        <v>-5.3090462919015702E-4</v>
      </c>
      <c r="I249" s="36">
        <f t="shared" si="24"/>
        <v>1.1438216362151969E-2</v>
      </c>
    </row>
    <row r="250" spans="1:9" x14ac:dyDescent="0.3">
      <c r="A250" s="1">
        <v>244</v>
      </c>
      <c r="B250" s="27">
        <v>29103.900390999999</v>
      </c>
      <c r="C250" s="4">
        <v>353.59619099999998</v>
      </c>
      <c r="D250" s="4">
        <v>289.30325299999998</v>
      </c>
      <c r="E250">
        <v>41683.269530999998</v>
      </c>
      <c r="F250" s="34">
        <f t="shared" si="21"/>
        <v>-3.6472912997721242E-2</v>
      </c>
      <c r="G250" s="35">
        <f t="shared" si="22"/>
        <v>-3.4475970190540571E-3</v>
      </c>
      <c r="H250" s="35">
        <f t="shared" si="23"/>
        <v>-2.326118703100961E-3</v>
      </c>
      <c r="I250" s="36">
        <f t="shared" si="24"/>
        <v>7.1020588430333086E-3</v>
      </c>
    </row>
    <row r="251" spans="1:9" x14ac:dyDescent="0.3">
      <c r="A251" s="1">
        <v>245</v>
      </c>
      <c r="B251" s="27">
        <v>27410.5</v>
      </c>
      <c r="C251" s="4">
        <v>360.81149299999998</v>
      </c>
      <c r="D251" s="4">
        <v>285.83831800000002</v>
      </c>
      <c r="E251">
        <v>41468.558594000002</v>
      </c>
      <c r="F251" s="34">
        <f t="shared" si="21"/>
        <v>-5.9946047584654001E-2</v>
      </c>
      <c r="G251" s="35">
        <f t="shared" si="22"/>
        <v>2.0200083247348375E-2</v>
      </c>
      <c r="H251" s="35">
        <f t="shared" si="23"/>
        <v>-1.2049127014883199E-2</v>
      </c>
      <c r="I251" s="36">
        <f t="shared" si="24"/>
        <v>-5.164322157200577E-3</v>
      </c>
    </row>
    <row r="252" spans="1:9" x14ac:dyDescent="0.3">
      <c r="A252" s="1">
        <v>246</v>
      </c>
      <c r="B252" s="27">
        <v>26812.699218999998</v>
      </c>
      <c r="C252" s="4">
        <v>361.02590900000001</v>
      </c>
      <c r="D252" s="4">
        <v>284.23098800000002</v>
      </c>
      <c r="E252">
        <v>41380.109375</v>
      </c>
      <c r="F252" s="34">
        <f t="shared" si="21"/>
        <v>-2.2050524926127409E-2</v>
      </c>
      <c r="G252" s="35">
        <f t="shared" si="22"/>
        <v>5.9408394664005586E-4</v>
      </c>
      <c r="H252" s="35">
        <f t="shared" si="23"/>
        <v>-5.6390836777440558E-3</v>
      </c>
      <c r="I252" s="36">
        <f t="shared" si="24"/>
        <v>-2.1352003543863916E-3</v>
      </c>
    </row>
    <row r="253" spans="1:9" x14ac:dyDescent="0.3">
      <c r="A253" s="1">
        <v>247</v>
      </c>
      <c r="B253" s="27">
        <v>29051.599609000001</v>
      </c>
      <c r="C253" s="4">
        <v>364.59628300000003</v>
      </c>
      <c r="D253" s="4">
        <v>284.644836</v>
      </c>
      <c r="E253">
        <v>41573.609375</v>
      </c>
      <c r="F253" s="34">
        <f t="shared" si="21"/>
        <v>8.0197919035182669E-2</v>
      </c>
      <c r="G253" s="35">
        <f t="shared" si="22"/>
        <v>9.8409416180068789E-3</v>
      </c>
      <c r="H253" s="35">
        <f t="shared" si="23"/>
        <v>1.4549680459169365E-3</v>
      </c>
      <c r="I253" s="36">
        <f t="shared" si="24"/>
        <v>4.6652604336663546E-3</v>
      </c>
    </row>
    <row r="254" spans="1:9" x14ac:dyDescent="0.3">
      <c r="A254" s="1">
        <v>248</v>
      </c>
      <c r="B254" s="27">
        <v>28653.099609000001</v>
      </c>
      <c r="C254" s="4">
        <v>355.02242999999999</v>
      </c>
      <c r="D254" s="4">
        <v>286.733429</v>
      </c>
      <c r="E254">
        <v>41417.851562999997</v>
      </c>
      <c r="F254" s="34">
        <f t="shared" si="21"/>
        <v>-1.3811919670495108E-2</v>
      </c>
      <c r="G254" s="35">
        <f t="shared" si="22"/>
        <v>-2.6609696880601615E-2</v>
      </c>
      <c r="H254" s="35">
        <f t="shared" si="23"/>
        <v>7.3107516696546528E-3</v>
      </c>
      <c r="I254" s="36">
        <f t="shared" si="24"/>
        <v>-3.7535908662877735E-3</v>
      </c>
    </row>
    <row r="255" spans="1:9" x14ac:dyDescent="0.3">
      <c r="A255" s="1">
        <v>249</v>
      </c>
      <c r="B255" s="27">
        <v>29300</v>
      </c>
      <c r="C255" s="4">
        <v>363.00216699999999</v>
      </c>
      <c r="D255" s="4">
        <v>286.93554699999999</v>
      </c>
      <c r="E255">
        <v>41459.148437999997</v>
      </c>
      <c r="F255" s="34">
        <f t="shared" si="21"/>
        <v>2.2325889918447108E-2</v>
      </c>
      <c r="G255" s="35">
        <f t="shared" si="22"/>
        <v>2.2227833365962429E-2</v>
      </c>
      <c r="H255" s="35">
        <f t="shared" si="23"/>
        <v>7.0465030119800764E-4</v>
      </c>
      <c r="I255" s="36">
        <f t="shared" si="24"/>
        <v>9.9658236706028883E-4</v>
      </c>
    </row>
    <row r="256" spans="1:9" x14ac:dyDescent="0.3">
      <c r="A256" s="1">
        <v>250</v>
      </c>
      <c r="B256" s="27">
        <v>29510</v>
      </c>
      <c r="C256" s="4">
        <v>366.85217299999999</v>
      </c>
      <c r="D256" s="4">
        <v>286.91632099999998</v>
      </c>
      <c r="E256">
        <v>41640.269530999998</v>
      </c>
      <c r="F256" s="34">
        <f t="shared" si="21"/>
        <v>7.1416729318265048E-3</v>
      </c>
      <c r="G256" s="35">
        <f t="shared" si="22"/>
        <v>1.0550164600393508E-2</v>
      </c>
      <c r="H256" s="35">
        <f t="shared" si="23"/>
        <v>-6.7006839497431899E-5</v>
      </c>
      <c r="I256" s="36">
        <f t="shared" si="24"/>
        <v>4.3591491790103279E-3</v>
      </c>
    </row>
    <row r="257" spans="1:9" x14ac:dyDescent="0.3">
      <c r="A257" s="1">
        <v>251</v>
      </c>
      <c r="B257" s="27">
        <v>29955</v>
      </c>
      <c r="C257" s="4">
        <v>359.88861100000003</v>
      </c>
      <c r="D257" s="4">
        <v>287.46493500000003</v>
      </c>
      <c r="E257">
        <v>42271.140625</v>
      </c>
      <c r="F257" s="34">
        <f t="shared" si="21"/>
        <v>1.4967066581040226E-2</v>
      </c>
      <c r="G257" s="35">
        <f t="shared" si="22"/>
        <v>-1.9164398861482169E-2</v>
      </c>
      <c r="H257" s="35">
        <f t="shared" si="23"/>
        <v>1.910278795142102E-3</v>
      </c>
      <c r="I257" s="36">
        <f t="shared" si="24"/>
        <v>1.503688186996547E-2</v>
      </c>
    </row>
    <row r="258" spans="1:9" x14ac:dyDescent="0.3">
      <c r="A258" s="1">
        <v>252</v>
      </c>
      <c r="B258" s="27">
        <v>29480</v>
      </c>
      <c r="C258" s="4">
        <v>359.88861100000003</v>
      </c>
      <c r="D258" s="4">
        <v>287.46493500000003</v>
      </c>
      <c r="E258">
        <v>42044.320312999997</v>
      </c>
      <c r="F258" s="34">
        <f t="shared" si="21"/>
        <v>-1.5984188214752428E-2</v>
      </c>
      <c r="G258" s="35">
        <f t="shared" si="22"/>
        <v>0</v>
      </c>
      <c r="H258" s="35">
        <f t="shared" si="23"/>
        <v>0</v>
      </c>
      <c r="I258" s="36">
        <f t="shared" si="24"/>
        <v>-5.3802910316501484E-3</v>
      </c>
    </row>
    <row r="259" spans="1:9" x14ac:dyDescent="0.3">
      <c r="A259" s="1">
        <v>253</v>
      </c>
      <c r="B259" s="27">
        <v>30540</v>
      </c>
      <c r="C259" s="4">
        <v>376.56585699999999</v>
      </c>
      <c r="D259" s="4">
        <v>287.77288800000002</v>
      </c>
      <c r="E259">
        <v>42455.128905999998</v>
      </c>
      <c r="F259" s="34">
        <f t="shared" si="21"/>
        <v>3.5325232469350418E-2</v>
      </c>
      <c r="G259" s="35">
        <f t="shared" si="22"/>
        <v>4.5298381251196132E-2</v>
      </c>
      <c r="H259" s="35">
        <f t="shared" si="23"/>
        <v>1.0706981255633684E-3</v>
      </c>
      <c r="I259" s="36">
        <f t="shared" si="24"/>
        <v>9.7234202931912664E-3</v>
      </c>
    </row>
    <row r="260" spans="1:9" x14ac:dyDescent="0.3">
      <c r="A260" s="1">
        <v>254</v>
      </c>
      <c r="B260" s="27">
        <v>31567.199218999998</v>
      </c>
      <c r="C260" s="4">
        <v>381.851471</v>
      </c>
      <c r="D260" s="4">
        <v>292.72006199999998</v>
      </c>
      <c r="E260">
        <v>42834.199219000002</v>
      </c>
      <c r="F260" s="34">
        <f t="shared" si="21"/>
        <v>3.308128230918457E-2</v>
      </c>
      <c r="G260" s="35">
        <f t="shared" si="22"/>
        <v>1.3938762690886758E-2</v>
      </c>
      <c r="H260" s="35">
        <f t="shared" si="23"/>
        <v>1.7045146810218081E-2</v>
      </c>
      <c r="I260" s="36">
        <f t="shared" si="24"/>
        <v>8.8891029484386326E-3</v>
      </c>
    </row>
    <row r="261" spans="1:9" x14ac:dyDescent="0.3">
      <c r="A261" s="1">
        <v>255</v>
      </c>
      <c r="B261" s="27">
        <v>32104.199218999998</v>
      </c>
      <c r="C261" s="4">
        <v>408.25161700000001</v>
      </c>
      <c r="D261" s="4">
        <v>295.20327800000001</v>
      </c>
      <c r="E261">
        <v>43542.871094000002</v>
      </c>
      <c r="F261" s="34">
        <f t="shared" si="21"/>
        <v>1.6868256271806183E-2</v>
      </c>
      <c r="G261" s="35">
        <f t="shared" si="22"/>
        <v>6.6851979026062894E-2</v>
      </c>
      <c r="H261" s="35">
        <f t="shared" si="23"/>
        <v>8.4474644832746824E-3</v>
      </c>
      <c r="I261" s="36">
        <f t="shared" si="24"/>
        <v>1.6409164464977286E-2</v>
      </c>
    </row>
    <row r="262" spans="1:9" x14ac:dyDescent="0.3">
      <c r="A262" s="1">
        <v>256</v>
      </c>
      <c r="B262" s="27">
        <v>31973.400390999999</v>
      </c>
      <c r="C262" s="4">
        <v>415.03808600000002</v>
      </c>
      <c r="D262" s="4">
        <v>290.75659200000001</v>
      </c>
      <c r="E262">
        <v>43648.070312999997</v>
      </c>
      <c r="F262" s="34">
        <f t="shared" si="21"/>
        <v>-4.0825190226941605E-3</v>
      </c>
      <c r="G262" s="35">
        <f t="shared" si="22"/>
        <v>1.6486596862685911E-2</v>
      </c>
      <c r="H262" s="35">
        <f t="shared" si="23"/>
        <v>-1.5177733459981123E-2</v>
      </c>
      <c r="I262" s="36">
        <f t="shared" si="24"/>
        <v>2.4130779723174835E-3</v>
      </c>
    </row>
    <row r="263" spans="1:9" x14ac:dyDescent="0.3">
      <c r="A263" s="1">
        <v>257</v>
      </c>
      <c r="B263" s="27">
        <v>31555.599609000001</v>
      </c>
      <c r="C263" s="4">
        <v>426.87713600000001</v>
      </c>
      <c r="D263" s="4">
        <v>284.991333</v>
      </c>
      <c r="E263">
        <v>43668.949219000002</v>
      </c>
      <c r="F263" s="34">
        <f t="shared" si="21"/>
        <v>-1.3153262464911627E-2</v>
      </c>
      <c r="G263" s="35">
        <f t="shared" si="22"/>
        <v>2.812594460552564E-2</v>
      </c>
      <c r="H263" s="35">
        <f t="shared" si="23"/>
        <v>-2.0027694260801799E-2</v>
      </c>
      <c r="I263" s="36">
        <f t="shared" si="24"/>
        <v>4.7823222803155342E-4</v>
      </c>
    </row>
    <row r="264" spans="1:9" x14ac:dyDescent="0.3">
      <c r="A264" s="1">
        <v>258</v>
      </c>
      <c r="B264" s="27">
        <v>31421.599609000001</v>
      </c>
      <c r="C264" s="4">
        <v>444.430634</v>
      </c>
      <c r="D264" s="4">
        <v>293.13394199999999</v>
      </c>
      <c r="E264">
        <v>43556.109375</v>
      </c>
      <c r="F264" s="34">
        <f t="shared" ref="F264:F327" si="25">LN(B264/B263)</f>
        <v>-4.2555148176022023E-3</v>
      </c>
      <c r="G264" s="35">
        <f t="shared" ref="G264:G327" si="26">LN(C264/C263)</f>
        <v>4.0297754663746611E-2</v>
      </c>
      <c r="H264" s="35">
        <f t="shared" ref="H264:H327" si="27">LN(D264/D263)</f>
        <v>2.8170875212257005E-2</v>
      </c>
      <c r="I264" s="36">
        <f t="shared" ref="I264:I327" si="28">LN(E264/E263)</f>
        <v>-2.5873277419860897E-3</v>
      </c>
    </row>
    <row r="265" spans="1:9" x14ac:dyDescent="0.3">
      <c r="A265" s="1">
        <v>259</v>
      </c>
      <c r="B265" s="27">
        <v>30812.400390999999</v>
      </c>
      <c r="C265" s="4">
        <v>449.74423200000001</v>
      </c>
      <c r="D265" s="4">
        <v>293.48046900000003</v>
      </c>
      <c r="E265">
        <v>43397.980469000002</v>
      </c>
      <c r="F265" s="34">
        <f t="shared" si="25"/>
        <v>-1.9578323015035915E-2</v>
      </c>
      <c r="G265" s="35">
        <f t="shared" si="26"/>
        <v>1.1885059062661914E-2</v>
      </c>
      <c r="H265" s="35">
        <f t="shared" si="27"/>
        <v>1.1814474169384243E-3</v>
      </c>
      <c r="I265" s="36">
        <f t="shared" si="28"/>
        <v>-3.6370705644354346E-3</v>
      </c>
    </row>
    <row r="266" spans="1:9" x14ac:dyDescent="0.3">
      <c r="A266" s="1">
        <v>260</v>
      </c>
      <c r="B266" s="27">
        <v>31779.400390999999</v>
      </c>
      <c r="C266" s="4">
        <v>446.96624800000001</v>
      </c>
      <c r="D266" s="4">
        <v>292.55645800000002</v>
      </c>
      <c r="E266">
        <v>43603.621094000002</v>
      </c>
      <c r="F266" s="34">
        <f t="shared" si="25"/>
        <v>3.0901074384063133E-2</v>
      </c>
      <c r="G266" s="35">
        <f t="shared" si="26"/>
        <v>-6.195963912947469E-3</v>
      </c>
      <c r="H266" s="35">
        <f t="shared" si="27"/>
        <v>-3.1534250595232844E-3</v>
      </c>
      <c r="I266" s="36">
        <f t="shared" si="28"/>
        <v>4.7272924696734504E-3</v>
      </c>
    </row>
    <row r="267" spans="1:9" x14ac:dyDescent="0.3">
      <c r="A267" s="1">
        <v>261</v>
      </c>
      <c r="B267" s="27">
        <v>31879.400390999999</v>
      </c>
      <c r="C267" s="4">
        <v>447.04083300000002</v>
      </c>
      <c r="D267" s="4">
        <v>292.922211</v>
      </c>
      <c r="E267">
        <v>43819.53125</v>
      </c>
      <c r="F267" s="34">
        <f t="shared" si="25"/>
        <v>3.1417519974177733E-3</v>
      </c>
      <c r="G267" s="35">
        <f t="shared" si="26"/>
        <v>1.6685550206065297E-4</v>
      </c>
      <c r="H267" s="35">
        <f t="shared" si="27"/>
        <v>1.2494154507942689E-3</v>
      </c>
      <c r="I267" s="36">
        <f t="shared" si="28"/>
        <v>4.9394374188732109E-3</v>
      </c>
    </row>
    <row r="268" spans="1:9" x14ac:dyDescent="0.3">
      <c r="A268" s="1">
        <v>262</v>
      </c>
      <c r="B268" s="27">
        <v>32207.5</v>
      </c>
      <c r="C268" s="4">
        <v>452.72729500000003</v>
      </c>
      <c r="D268" s="4">
        <v>292.07522599999999</v>
      </c>
      <c r="E268">
        <v>43932.078125</v>
      </c>
      <c r="F268" s="34">
        <f t="shared" si="25"/>
        <v>1.0239299250828528E-2</v>
      </c>
      <c r="G268" s="35">
        <f t="shared" si="26"/>
        <v>1.2640006982321834E-2</v>
      </c>
      <c r="H268" s="35">
        <f t="shared" si="27"/>
        <v>-2.8956899236197084E-3</v>
      </c>
      <c r="I268" s="36">
        <f t="shared" si="28"/>
        <v>2.5651253011440027E-3</v>
      </c>
    </row>
    <row r="269" spans="1:9" x14ac:dyDescent="0.3">
      <c r="A269" s="1">
        <v>263</v>
      </c>
      <c r="B269" s="27">
        <v>32410.5</v>
      </c>
      <c r="C269" s="4">
        <v>455.88748199999998</v>
      </c>
      <c r="D269" s="4">
        <v>292.51797499999998</v>
      </c>
      <c r="E269">
        <v>44241.539062999997</v>
      </c>
      <c r="F269" s="34">
        <f t="shared" si="25"/>
        <v>6.2830996881547045E-3</v>
      </c>
      <c r="G269" s="35">
        <f t="shared" si="26"/>
        <v>6.9560826494820165E-3</v>
      </c>
      <c r="H269" s="35">
        <f t="shared" si="27"/>
        <v>1.5147253984341886E-3</v>
      </c>
      <c r="I269" s="36">
        <f t="shared" si="28"/>
        <v>7.0193833146050379E-3</v>
      </c>
    </row>
    <row r="270" spans="1:9" x14ac:dyDescent="0.3">
      <c r="A270" s="1">
        <v>264</v>
      </c>
      <c r="B270" s="27">
        <v>32750</v>
      </c>
      <c r="C270" s="4">
        <v>451.07730099999998</v>
      </c>
      <c r="D270" s="4">
        <v>285.07794200000001</v>
      </c>
      <c r="E270">
        <v>44028.960937999997</v>
      </c>
      <c r="F270" s="34">
        <f t="shared" si="25"/>
        <v>1.0420517709563487E-2</v>
      </c>
      <c r="G270" s="35">
        <f t="shared" si="26"/>
        <v>-1.060730513798539E-2</v>
      </c>
      <c r="H270" s="35">
        <f t="shared" si="27"/>
        <v>-2.5763494193831935E-2</v>
      </c>
      <c r="I270" s="36">
        <f t="shared" si="28"/>
        <v>-4.8165250216676905E-3</v>
      </c>
    </row>
    <row r="271" spans="1:9" x14ac:dyDescent="0.3">
      <c r="A271" s="1">
        <v>265</v>
      </c>
      <c r="B271" s="27">
        <v>31201.5</v>
      </c>
      <c r="C271" s="4">
        <v>457.96630900000002</v>
      </c>
      <c r="D271" s="4">
        <v>284.35611</v>
      </c>
      <c r="E271">
        <v>43768.078125</v>
      </c>
      <c r="F271" s="34">
        <f t="shared" si="25"/>
        <v>-4.8436791498405518E-2</v>
      </c>
      <c r="G271" s="35">
        <f t="shared" si="26"/>
        <v>1.515689634445035E-2</v>
      </c>
      <c r="H271" s="35">
        <f t="shared" si="27"/>
        <v>-2.5352624561152557E-3</v>
      </c>
      <c r="I271" s="36">
        <f t="shared" si="28"/>
        <v>-5.9428787941192144E-3</v>
      </c>
    </row>
    <row r="272" spans="1:9" x14ac:dyDescent="0.3">
      <c r="A272" s="1">
        <v>266</v>
      </c>
      <c r="B272" s="27">
        <v>31228.599609000001</v>
      </c>
      <c r="C272" s="4">
        <v>455.14169299999998</v>
      </c>
      <c r="D272" s="4">
        <v>288.84127799999999</v>
      </c>
      <c r="E272">
        <v>43679.671875</v>
      </c>
      <c r="F272" s="34">
        <f t="shared" si="25"/>
        <v>8.6815849636005555E-4</v>
      </c>
      <c r="G272" s="35">
        <f t="shared" si="26"/>
        <v>-6.1868366143192953E-3</v>
      </c>
      <c r="H272" s="35">
        <f t="shared" si="27"/>
        <v>1.5649965042864592E-2</v>
      </c>
      <c r="I272" s="36">
        <f t="shared" si="28"/>
        <v>-2.0219223506222307E-3</v>
      </c>
    </row>
    <row r="273" spans="1:9" x14ac:dyDescent="0.3">
      <c r="A273" s="1">
        <v>267</v>
      </c>
      <c r="B273" s="27">
        <v>31476.099609000001</v>
      </c>
      <c r="C273" s="4">
        <v>461.53671300000002</v>
      </c>
      <c r="D273" s="4">
        <v>297.52288800000002</v>
      </c>
      <c r="E273">
        <v>43566.109375</v>
      </c>
      <c r="F273" s="34">
        <f t="shared" si="25"/>
        <v>7.8941861901153845E-3</v>
      </c>
      <c r="G273" s="35">
        <f t="shared" si="26"/>
        <v>1.3952818582737482E-2</v>
      </c>
      <c r="H273" s="35">
        <f t="shared" si="27"/>
        <v>2.9613830312038996E-2</v>
      </c>
      <c r="I273" s="36">
        <f t="shared" si="28"/>
        <v>-2.6032792074976718E-3</v>
      </c>
    </row>
    <row r="274" spans="1:9" x14ac:dyDescent="0.3">
      <c r="A274" s="1">
        <v>268</v>
      </c>
      <c r="B274" s="27">
        <v>31840.199218999998</v>
      </c>
      <c r="C274" s="4">
        <v>478.11135899999999</v>
      </c>
      <c r="D274" s="4">
        <v>303.02825899999999</v>
      </c>
      <c r="E274">
        <v>43638.621094000002</v>
      </c>
      <c r="F274" s="34">
        <f t="shared" si="25"/>
        <v>1.1501102565417863E-2</v>
      </c>
      <c r="G274" s="35">
        <f t="shared" si="26"/>
        <v>3.5282071736249088E-2</v>
      </c>
      <c r="H274" s="35">
        <f t="shared" si="27"/>
        <v>1.8334908706790162E-2</v>
      </c>
      <c r="I274" s="36">
        <f t="shared" si="28"/>
        <v>1.6630229879004968E-3</v>
      </c>
    </row>
    <row r="275" spans="1:9" x14ac:dyDescent="0.3">
      <c r="A275" s="1">
        <v>269</v>
      </c>
      <c r="B275" s="27">
        <v>31123.699218999998</v>
      </c>
      <c r="C275" s="4">
        <v>482.390198</v>
      </c>
      <c r="D275" s="4">
        <v>301.70968599999998</v>
      </c>
      <c r="E275">
        <v>43626.148437999997</v>
      </c>
      <c r="F275" s="34">
        <f t="shared" si="25"/>
        <v>-2.2760056083836352E-2</v>
      </c>
      <c r="G275" s="35">
        <f t="shared" si="26"/>
        <v>8.9096519916615994E-3</v>
      </c>
      <c r="H275" s="35">
        <f t="shared" si="27"/>
        <v>-4.3608147974758598E-3</v>
      </c>
      <c r="I275" s="36">
        <f t="shared" si="28"/>
        <v>-2.8585776715687815E-4</v>
      </c>
    </row>
    <row r="276" spans="1:9" x14ac:dyDescent="0.3">
      <c r="A276" s="1">
        <v>270</v>
      </c>
      <c r="B276" s="27">
        <v>30290.800781000002</v>
      </c>
      <c r="C276" s="4">
        <v>456.54934700000001</v>
      </c>
      <c r="D276" s="4">
        <v>294.26965300000001</v>
      </c>
      <c r="E276">
        <v>43700.101562999997</v>
      </c>
      <c r="F276" s="34">
        <f t="shared" si="25"/>
        <v>-2.7125499920250873E-2</v>
      </c>
      <c r="G276" s="35">
        <f t="shared" si="26"/>
        <v>-5.5056533200473809E-2</v>
      </c>
      <c r="H276" s="35">
        <f t="shared" si="27"/>
        <v>-2.4968716335018216E-2</v>
      </c>
      <c r="I276" s="36">
        <f t="shared" si="28"/>
        <v>1.6937207925040263E-3</v>
      </c>
    </row>
    <row r="277" spans="1:9" x14ac:dyDescent="0.3">
      <c r="A277" s="1">
        <v>271</v>
      </c>
      <c r="B277" s="27">
        <v>31897.099609000001</v>
      </c>
      <c r="C277" s="4">
        <v>465.32147200000003</v>
      </c>
      <c r="D277" s="4">
        <v>290.20797700000003</v>
      </c>
      <c r="E277">
        <v>43631.359375</v>
      </c>
      <c r="F277" s="34">
        <f t="shared" si="25"/>
        <v>5.1671022478578743E-2</v>
      </c>
      <c r="G277" s="35">
        <f t="shared" si="26"/>
        <v>1.9031711589070823E-2</v>
      </c>
      <c r="H277" s="35">
        <f t="shared" si="27"/>
        <v>-1.3898706042805476E-2</v>
      </c>
      <c r="I277" s="36">
        <f t="shared" si="28"/>
        <v>-1.5742826573382099E-3</v>
      </c>
    </row>
    <row r="278" spans="1:9" x14ac:dyDescent="0.3">
      <c r="A278" s="1">
        <v>272</v>
      </c>
      <c r="B278" s="27">
        <v>32770.601562999997</v>
      </c>
      <c r="C278" s="4">
        <v>452.06542999999999</v>
      </c>
      <c r="D278" s="4">
        <v>290.22726399999999</v>
      </c>
      <c r="E278">
        <v>43987.941405999998</v>
      </c>
      <c r="F278" s="34">
        <f t="shared" si="25"/>
        <v>2.7016735358412525E-2</v>
      </c>
      <c r="G278" s="35">
        <f t="shared" si="26"/>
        <v>-2.8901578364818287E-2</v>
      </c>
      <c r="H278" s="35">
        <f t="shared" si="27"/>
        <v>6.6457026192346297E-5</v>
      </c>
      <c r="I278" s="36">
        <f t="shared" si="28"/>
        <v>8.1393938650824536E-3</v>
      </c>
    </row>
    <row r="279" spans="1:9" x14ac:dyDescent="0.3">
      <c r="A279" s="1">
        <v>273</v>
      </c>
      <c r="B279" s="27">
        <v>31017.300781000002</v>
      </c>
      <c r="C279" s="4">
        <v>459.709564</v>
      </c>
      <c r="D279" s="4">
        <v>290.79510499999998</v>
      </c>
      <c r="E279">
        <v>43738.269530999998</v>
      </c>
      <c r="F279" s="34">
        <f t="shared" si="25"/>
        <v>-5.4986681146973658E-2</v>
      </c>
      <c r="G279" s="35">
        <f t="shared" si="26"/>
        <v>1.6767981475338759E-2</v>
      </c>
      <c r="H279" s="35">
        <f t="shared" si="27"/>
        <v>1.9546276050161114E-3</v>
      </c>
      <c r="I279" s="36">
        <f t="shared" si="28"/>
        <v>-5.6920855567244334E-3</v>
      </c>
    </row>
    <row r="280" spans="1:9" x14ac:dyDescent="0.3">
      <c r="A280" s="1">
        <v>274</v>
      </c>
      <c r="B280" s="27">
        <v>31602.199218999998</v>
      </c>
      <c r="C280" s="4">
        <v>468.30450400000001</v>
      </c>
      <c r="D280" s="4">
        <v>292.18109099999998</v>
      </c>
      <c r="E280">
        <v>44337.101562999997</v>
      </c>
      <c r="F280" s="34">
        <f t="shared" si="25"/>
        <v>1.8681575188504787E-2</v>
      </c>
      <c r="G280" s="35">
        <f t="shared" si="26"/>
        <v>1.8523826441127707E-2</v>
      </c>
      <c r="H280" s="35">
        <f t="shared" si="27"/>
        <v>4.7548720541241733E-3</v>
      </c>
      <c r="I280" s="36">
        <f t="shared" si="28"/>
        <v>1.3598381757228332E-2</v>
      </c>
    </row>
    <row r="281" spans="1:9" x14ac:dyDescent="0.3">
      <c r="A281" s="1">
        <v>275</v>
      </c>
      <c r="B281" s="27">
        <v>31240</v>
      </c>
      <c r="C281" s="4">
        <v>488.39355499999999</v>
      </c>
      <c r="D281" s="4">
        <v>292.74896200000001</v>
      </c>
      <c r="E281">
        <v>43855.789062999997</v>
      </c>
      <c r="F281" s="34">
        <f t="shared" si="25"/>
        <v>-1.1527388737698801E-2</v>
      </c>
      <c r="G281" s="35">
        <f t="shared" si="26"/>
        <v>4.2002812089148661E-2</v>
      </c>
      <c r="H281" s="35">
        <f t="shared" si="27"/>
        <v>1.9416720871083422E-3</v>
      </c>
      <c r="I281" s="36">
        <f t="shared" si="28"/>
        <v>-1.0915103818110939E-2</v>
      </c>
    </row>
    <row r="282" spans="1:9" x14ac:dyDescent="0.3">
      <c r="A282" s="1">
        <v>276</v>
      </c>
      <c r="B282" s="27">
        <v>30771.5</v>
      </c>
      <c r="C282" s="4">
        <v>479.835938</v>
      </c>
      <c r="D282" s="4">
        <v>293.52856400000002</v>
      </c>
      <c r="E282">
        <v>43624.550780999998</v>
      </c>
      <c r="F282" s="34">
        <f t="shared" si="25"/>
        <v>-1.5110388044437484E-2</v>
      </c>
      <c r="G282" s="35">
        <f t="shared" si="26"/>
        <v>-1.7677296355689452E-2</v>
      </c>
      <c r="H282" s="35">
        <f t="shared" si="27"/>
        <v>2.6594997247307156E-3</v>
      </c>
      <c r="I282" s="36">
        <f t="shared" si="28"/>
        <v>-5.286646599184419E-3</v>
      </c>
    </row>
    <row r="283" spans="1:9" x14ac:dyDescent="0.3">
      <c r="A283" s="1">
        <v>277</v>
      </c>
      <c r="B283" s="27">
        <v>30217.599609000001</v>
      </c>
      <c r="C283" s="4">
        <v>493.14788800000002</v>
      </c>
      <c r="D283" s="4">
        <v>293.65368699999999</v>
      </c>
      <c r="E283">
        <v>43180.449219000002</v>
      </c>
      <c r="F283" s="34">
        <f t="shared" si="25"/>
        <v>-1.8164413779913794E-2</v>
      </c>
      <c r="G283" s="35">
        <f t="shared" si="26"/>
        <v>2.7364855075123005E-2</v>
      </c>
      <c r="H283" s="35">
        <f t="shared" si="27"/>
        <v>4.2618114454496728E-4</v>
      </c>
      <c r="I283" s="36">
        <f t="shared" si="28"/>
        <v>-1.0232254749006022E-2</v>
      </c>
    </row>
    <row r="284" spans="1:9" x14ac:dyDescent="0.3">
      <c r="A284" s="1">
        <v>278</v>
      </c>
      <c r="B284" s="27">
        <v>30778.699218999998</v>
      </c>
      <c r="C284" s="4">
        <v>492.96142600000002</v>
      </c>
      <c r="D284" s="4">
        <v>301.88293499999997</v>
      </c>
      <c r="E284">
        <v>43285.171875</v>
      </c>
      <c r="F284" s="34">
        <f t="shared" si="25"/>
        <v>1.8398343779302093E-2</v>
      </c>
      <c r="G284" s="35">
        <f t="shared" si="26"/>
        <v>-3.7817714440995551E-4</v>
      </c>
      <c r="H284" s="35">
        <f t="shared" si="27"/>
        <v>2.7638172122289584E-2</v>
      </c>
      <c r="I284" s="36">
        <f t="shared" si="28"/>
        <v>2.422296998048668E-3</v>
      </c>
    </row>
    <row r="285" spans="1:9" x14ac:dyDescent="0.3">
      <c r="A285" s="1">
        <v>279</v>
      </c>
      <c r="B285" s="27">
        <v>31551.900390999999</v>
      </c>
      <c r="C285" s="4">
        <v>478.87576300000001</v>
      </c>
      <c r="D285" s="4">
        <v>303.64428700000002</v>
      </c>
      <c r="E285">
        <v>43113.789062999997</v>
      </c>
      <c r="F285" s="34">
        <f t="shared" si="25"/>
        <v>2.4810954509850235E-2</v>
      </c>
      <c r="G285" s="35">
        <f t="shared" si="26"/>
        <v>-2.8989731236591796E-2</v>
      </c>
      <c r="H285" s="35">
        <f t="shared" si="27"/>
        <v>5.8175979664294936E-3</v>
      </c>
      <c r="I285" s="36">
        <f t="shared" si="28"/>
        <v>-3.9672476363815865E-3</v>
      </c>
    </row>
    <row r="286" spans="1:9" x14ac:dyDescent="0.3">
      <c r="A286" s="1">
        <v>280</v>
      </c>
      <c r="B286" s="27">
        <v>31800</v>
      </c>
      <c r="C286" s="4">
        <v>478.39102200000002</v>
      </c>
      <c r="D286" s="4">
        <v>306.83969100000002</v>
      </c>
      <c r="E286">
        <v>42284.058594000002</v>
      </c>
      <c r="F286" s="34">
        <f t="shared" si="25"/>
        <v>7.8324683498449295E-3</v>
      </c>
      <c r="G286" s="35">
        <f t="shared" si="26"/>
        <v>-1.0127605992985358E-3</v>
      </c>
      <c r="H286" s="35">
        <f t="shared" si="27"/>
        <v>1.0468524309000088E-2</v>
      </c>
      <c r="I286" s="36">
        <f t="shared" si="28"/>
        <v>-1.9432728168013804E-2</v>
      </c>
    </row>
    <row r="287" spans="1:9" x14ac:dyDescent="0.3">
      <c r="A287" s="1">
        <v>281</v>
      </c>
      <c r="B287" s="27">
        <v>31265</v>
      </c>
      <c r="C287" s="4">
        <v>473.748627</v>
      </c>
      <c r="D287" s="4">
        <v>303.18228099999999</v>
      </c>
      <c r="E287">
        <v>42725.21875</v>
      </c>
      <c r="F287" s="34">
        <f t="shared" si="25"/>
        <v>-1.6967028766869938E-2</v>
      </c>
      <c r="G287" s="35">
        <f t="shared" si="26"/>
        <v>-9.75157749851468E-3</v>
      </c>
      <c r="H287" s="35">
        <f t="shared" si="27"/>
        <v>-1.1991219964169198E-2</v>
      </c>
      <c r="I287" s="36">
        <f t="shared" si="28"/>
        <v>1.0379199311183243E-2</v>
      </c>
    </row>
    <row r="288" spans="1:9" x14ac:dyDescent="0.3">
      <c r="A288" s="1">
        <v>282</v>
      </c>
      <c r="B288" s="27">
        <v>30922.400390999999</v>
      </c>
      <c r="C288" s="4">
        <v>471.09182700000002</v>
      </c>
      <c r="D288" s="4">
        <v>300.50656099999998</v>
      </c>
      <c r="E288">
        <v>42988.71875</v>
      </c>
      <c r="F288" s="34">
        <f t="shared" si="25"/>
        <v>-1.1018408004086811E-2</v>
      </c>
      <c r="G288" s="35">
        <f t="shared" si="26"/>
        <v>-5.6238214421235992E-3</v>
      </c>
      <c r="H288" s="35">
        <f t="shared" si="27"/>
        <v>-8.8646247393586505E-3</v>
      </c>
      <c r="I288" s="36">
        <f t="shared" si="28"/>
        <v>6.1483776796610896E-3</v>
      </c>
    </row>
    <row r="289" spans="1:9" x14ac:dyDescent="0.3">
      <c r="A289" s="1">
        <v>283</v>
      </c>
      <c r="B289" s="27">
        <v>31000</v>
      </c>
      <c r="C289" s="4">
        <v>470.79351800000001</v>
      </c>
      <c r="D289" s="4">
        <v>299.06286599999999</v>
      </c>
      <c r="E289">
        <v>42981.308594000002</v>
      </c>
      <c r="F289" s="34">
        <f t="shared" si="25"/>
        <v>2.5063514699718787E-3</v>
      </c>
      <c r="G289" s="35">
        <f t="shared" si="26"/>
        <v>-6.334295603129766E-4</v>
      </c>
      <c r="H289" s="35">
        <f t="shared" si="27"/>
        <v>-4.8157818765854074E-3</v>
      </c>
      <c r="I289" s="36">
        <f t="shared" si="28"/>
        <v>-1.723892907163383E-4</v>
      </c>
    </row>
    <row r="290" spans="1:9" x14ac:dyDescent="0.3">
      <c r="A290" s="1">
        <v>284</v>
      </c>
      <c r="B290" s="27">
        <v>31150</v>
      </c>
      <c r="C290" s="4">
        <v>474.98843399999998</v>
      </c>
      <c r="D290" s="4">
        <v>301.63269000000003</v>
      </c>
      <c r="E290">
        <v>42949.5</v>
      </c>
      <c r="F290" s="34">
        <f t="shared" si="25"/>
        <v>4.8270407483159443E-3</v>
      </c>
      <c r="G290" s="35">
        <f t="shared" si="26"/>
        <v>8.8708470275381222E-3</v>
      </c>
      <c r="H290" s="35">
        <f t="shared" si="27"/>
        <v>8.5562133833704292E-3</v>
      </c>
      <c r="I290" s="36">
        <f t="shared" si="28"/>
        <v>-7.4033041171808181E-4</v>
      </c>
    </row>
    <row r="291" spans="1:9" x14ac:dyDescent="0.3">
      <c r="A291" s="1">
        <v>285</v>
      </c>
      <c r="B291" s="27">
        <v>31170</v>
      </c>
      <c r="C291" s="4">
        <v>473.55285600000002</v>
      </c>
      <c r="D291" s="4">
        <v>307.81182899999999</v>
      </c>
      <c r="E291">
        <v>43178</v>
      </c>
      <c r="F291" s="34">
        <f t="shared" si="25"/>
        <v>6.4184854578356134E-4</v>
      </c>
      <c r="G291" s="35">
        <f t="shared" si="26"/>
        <v>-3.0269195684514212E-3</v>
      </c>
      <c r="H291" s="35">
        <f t="shared" si="27"/>
        <v>2.0278632611208491E-2</v>
      </c>
      <c r="I291" s="36">
        <f t="shared" si="28"/>
        <v>5.3060993553041419E-3</v>
      </c>
    </row>
    <row r="292" spans="1:9" x14ac:dyDescent="0.3">
      <c r="A292" s="1">
        <v>286</v>
      </c>
      <c r="B292" s="27">
        <v>31145.900390999999</v>
      </c>
      <c r="C292" s="4">
        <v>464.66891500000003</v>
      </c>
      <c r="D292" s="4">
        <v>303.942657</v>
      </c>
      <c r="E292">
        <v>43577.640625</v>
      </c>
      <c r="F292" s="34">
        <f t="shared" si="25"/>
        <v>-7.7346584259399879E-4</v>
      </c>
      <c r="G292" s="35">
        <f t="shared" si="26"/>
        <v>-1.8938393461424528E-2</v>
      </c>
      <c r="H292" s="35">
        <f t="shared" si="27"/>
        <v>-1.2649596141360143E-2</v>
      </c>
      <c r="I292" s="36">
        <f t="shared" si="28"/>
        <v>9.2130828367604656E-3</v>
      </c>
    </row>
    <row r="293" spans="1:9" x14ac:dyDescent="0.3">
      <c r="A293" s="1">
        <v>287</v>
      </c>
      <c r="B293" s="27">
        <v>31226.5</v>
      </c>
      <c r="C293" s="4">
        <v>473.25457799999998</v>
      </c>
      <c r="D293" s="4">
        <v>306.01196299999998</v>
      </c>
      <c r="E293">
        <v>43738.660155999998</v>
      </c>
      <c r="F293" s="34">
        <f t="shared" si="25"/>
        <v>2.5844653519258068E-3</v>
      </c>
      <c r="G293" s="35">
        <f t="shared" si="26"/>
        <v>1.8308322342089008E-2</v>
      </c>
      <c r="H293" s="35">
        <f t="shared" si="27"/>
        <v>6.7851406352471989E-3</v>
      </c>
      <c r="I293" s="36">
        <f t="shared" si="28"/>
        <v>3.6881936611084312E-3</v>
      </c>
    </row>
    <row r="294" spans="1:9" x14ac:dyDescent="0.3">
      <c r="A294" s="1">
        <v>288</v>
      </c>
      <c r="B294" s="27">
        <v>31325</v>
      </c>
      <c r="C294" s="4">
        <v>468.78924599999999</v>
      </c>
      <c r="D294" s="4">
        <v>299.68847699999998</v>
      </c>
      <c r="E294">
        <v>43664.328125</v>
      </c>
      <c r="F294" s="34">
        <f t="shared" si="25"/>
        <v>3.1494074935544576E-3</v>
      </c>
      <c r="G294" s="35">
        <f t="shared" si="26"/>
        <v>-9.4801649968216488E-3</v>
      </c>
      <c r="H294" s="35">
        <f t="shared" si="27"/>
        <v>-2.0880670824433463E-2</v>
      </c>
      <c r="I294" s="36">
        <f t="shared" si="28"/>
        <v>-1.7009040624948941E-3</v>
      </c>
    </row>
    <row r="295" spans="1:9" x14ac:dyDescent="0.3">
      <c r="A295" s="1">
        <v>289</v>
      </c>
      <c r="B295" s="27">
        <v>31355.699218999998</v>
      </c>
      <c r="C295" s="4">
        <v>468.938446</v>
      </c>
      <c r="D295" s="4">
        <v>294.00982699999997</v>
      </c>
      <c r="E295">
        <v>43623.328125</v>
      </c>
      <c r="F295" s="34">
        <f t="shared" si="25"/>
        <v>9.7954304394104463E-4</v>
      </c>
      <c r="G295" s="35">
        <f t="shared" si="26"/>
        <v>3.1821605042038349E-4</v>
      </c>
      <c r="H295" s="35">
        <f t="shared" si="27"/>
        <v>-1.913033318486743E-2</v>
      </c>
      <c r="I295" s="36">
        <f t="shared" si="28"/>
        <v>-9.394227036600317E-4</v>
      </c>
    </row>
    <row r="296" spans="1:9" x14ac:dyDescent="0.3">
      <c r="A296" s="1">
        <v>290</v>
      </c>
      <c r="B296" s="27">
        <v>31440</v>
      </c>
      <c r="C296" s="4">
        <v>463.06549100000001</v>
      </c>
      <c r="D296" s="4">
        <v>299.26495399999999</v>
      </c>
      <c r="E296">
        <v>43311.179687999997</v>
      </c>
      <c r="F296" s="34">
        <f t="shared" si="25"/>
        <v>2.6849237349327523E-3</v>
      </c>
      <c r="G296" s="35">
        <f t="shared" si="26"/>
        <v>-1.2603021303021929E-2</v>
      </c>
      <c r="H296" s="35">
        <f t="shared" si="27"/>
        <v>1.7716122835058721E-2</v>
      </c>
      <c r="I296" s="36">
        <f t="shared" si="28"/>
        <v>-7.1812629144269577E-3</v>
      </c>
    </row>
    <row r="297" spans="1:9" x14ac:dyDescent="0.3">
      <c r="A297" s="1">
        <v>291</v>
      </c>
      <c r="B297" s="27">
        <v>31504.800781000002</v>
      </c>
      <c r="C297" s="4">
        <v>460.95871</v>
      </c>
      <c r="D297" s="4">
        <v>301.29580700000002</v>
      </c>
      <c r="E297">
        <v>42823.808594000002</v>
      </c>
      <c r="F297" s="34">
        <f t="shared" si="25"/>
        <v>2.0589724040374954E-3</v>
      </c>
      <c r="G297" s="35">
        <f t="shared" si="26"/>
        <v>-4.5600205024536851E-3</v>
      </c>
      <c r="H297" s="35">
        <f t="shared" si="27"/>
        <v>6.7632148917929269E-3</v>
      </c>
      <c r="I297" s="36">
        <f t="shared" si="28"/>
        <v>-1.131656960695086E-2</v>
      </c>
    </row>
    <row r="298" spans="1:9" x14ac:dyDescent="0.3">
      <c r="A298" s="1">
        <v>292</v>
      </c>
      <c r="B298" s="27">
        <v>32191.599609000001</v>
      </c>
      <c r="C298" s="4">
        <v>444.96200599999997</v>
      </c>
      <c r="D298" s="4">
        <v>305.73284899999999</v>
      </c>
      <c r="E298">
        <v>42619.230469000002</v>
      </c>
      <c r="F298" s="34">
        <f t="shared" si="25"/>
        <v>2.1565596841692344E-2</v>
      </c>
      <c r="G298" s="35">
        <f t="shared" si="26"/>
        <v>-3.5319574078941117E-2</v>
      </c>
      <c r="H298" s="35">
        <f t="shared" si="27"/>
        <v>1.4619148468181489E-2</v>
      </c>
      <c r="I298" s="36">
        <f t="shared" si="28"/>
        <v>-4.7886526082963664E-3</v>
      </c>
    </row>
    <row r="299" spans="1:9" x14ac:dyDescent="0.3">
      <c r="A299" s="1">
        <v>293</v>
      </c>
      <c r="B299" s="27">
        <v>32701</v>
      </c>
      <c r="C299" s="4">
        <v>467.50280800000002</v>
      </c>
      <c r="D299" s="4">
        <v>310.35278299999999</v>
      </c>
      <c r="E299">
        <v>42418.488280999998</v>
      </c>
      <c r="F299" s="34">
        <f t="shared" si="25"/>
        <v>1.5700121668637022E-2</v>
      </c>
      <c r="G299" s="35">
        <f t="shared" si="26"/>
        <v>4.9416456381916864E-2</v>
      </c>
      <c r="H299" s="35">
        <f t="shared" si="27"/>
        <v>1.4997981969271068E-2</v>
      </c>
      <c r="I299" s="36">
        <f t="shared" si="28"/>
        <v>-4.7212593149042973E-3</v>
      </c>
    </row>
    <row r="300" spans="1:9" x14ac:dyDescent="0.3">
      <c r="A300" s="1">
        <v>294</v>
      </c>
      <c r="B300" s="27">
        <v>32842.898437999997</v>
      </c>
      <c r="C300" s="4">
        <v>450.73236100000003</v>
      </c>
      <c r="D300" s="4">
        <v>301.39205900000002</v>
      </c>
      <c r="E300">
        <v>42128.910155999998</v>
      </c>
      <c r="F300" s="34">
        <f t="shared" si="25"/>
        <v>4.3298815930313938E-3</v>
      </c>
      <c r="G300" s="35">
        <f t="shared" si="26"/>
        <v>-3.6531626366937048E-2</v>
      </c>
      <c r="H300" s="35">
        <f t="shared" si="27"/>
        <v>-2.9297721316253144E-2</v>
      </c>
      <c r="I300" s="36">
        <f t="shared" si="28"/>
        <v>-6.8501045022748962E-3</v>
      </c>
    </row>
    <row r="301" spans="1:9" x14ac:dyDescent="0.3">
      <c r="A301" s="1">
        <v>295</v>
      </c>
      <c r="B301" s="27">
        <v>32338.699218999998</v>
      </c>
      <c r="C301" s="4">
        <v>451.92562900000001</v>
      </c>
      <c r="D301" s="4">
        <v>303.05715900000001</v>
      </c>
      <c r="E301">
        <v>41908.148437999997</v>
      </c>
      <c r="F301" s="34">
        <f t="shared" si="25"/>
        <v>-1.5470908775371944E-2</v>
      </c>
      <c r="G301" s="35">
        <f t="shared" si="26"/>
        <v>2.6438999229355456E-3</v>
      </c>
      <c r="H301" s="35">
        <f t="shared" si="27"/>
        <v>5.5094924845736819E-3</v>
      </c>
      <c r="I301" s="36">
        <f t="shared" si="28"/>
        <v>-5.2539255779277287E-3</v>
      </c>
    </row>
    <row r="302" spans="1:9" x14ac:dyDescent="0.3">
      <c r="A302" s="1">
        <v>296</v>
      </c>
      <c r="B302" s="27">
        <v>31814.800781000002</v>
      </c>
      <c r="C302" s="4">
        <v>441.55944799999997</v>
      </c>
      <c r="D302" s="4">
        <v>310.795502</v>
      </c>
      <c r="E302">
        <v>41641.839844000002</v>
      </c>
      <c r="F302" s="34">
        <f t="shared" si="25"/>
        <v>-1.6333016422632414E-2</v>
      </c>
      <c r="G302" s="35">
        <f t="shared" si="26"/>
        <v>-2.3204967647679514E-2</v>
      </c>
      <c r="H302" s="35">
        <f t="shared" si="27"/>
        <v>2.5213714776528978E-2</v>
      </c>
      <c r="I302" s="36">
        <f t="shared" si="28"/>
        <v>-6.3748541764380787E-3</v>
      </c>
    </row>
    <row r="303" spans="1:9" x14ac:dyDescent="0.3">
      <c r="A303" s="1">
        <v>297</v>
      </c>
      <c r="B303" s="27">
        <v>31595.300781000002</v>
      </c>
      <c r="C303" s="4">
        <v>434.04580700000002</v>
      </c>
      <c r="D303" s="4">
        <v>310.68002300000001</v>
      </c>
      <c r="E303">
        <v>41586.699219000002</v>
      </c>
      <c r="F303" s="34">
        <f t="shared" si="25"/>
        <v>-6.9232147979066813E-3</v>
      </c>
      <c r="G303" s="35">
        <f t="shared" si="26"/>
        <v>-1.7162586422376305E-2</v>
      </c>
      <c r="H303" s="35">
        <f t="shared" si="27"/>
        <v>-3.7162847669357273E-4</v>
      </c>
      <c r="I303" s="36">
        <f t="shared" si="28"/>
        <v>-1.3250414746786606E-3</v>
      </c>
    </row>
    <row r="304" spans="1:9" x14ac:dyDescent="0.3">
      <c r="A304" s="1">
        <v>298</v>
      </c>
      <c r="B304" s="27">
        <v>32432.099609000001</v>
      </c>
      <c r="C304" s="4">
        <v>420.35171500000001</v>
      </c>
      <c r="D304" s="4">
        <v>310.68002300000001</v>
      </c>
      <c r="E304">
        <v>41876.171875</v>
      </c>
      <c r="F304" s="34">
        <f t="shared" si="25"/>
        <v>2.6140260950885921E-2</v>
      </c>
      <c r="G304" s="35">
        <f t="shared" si="26"/>
        <v>-3.2058297107386537E-2</v>
      </c>
      <c r="H304" s="35">
        <f t="shared" si="27"/>
        <v>0</v>
      </c>
      <c r="I304" s="36">
        <f t="shared" si="28"/>
        <v>6.9365889981989684E-3</v>
      </c>
    </row>
    <row r="305" spans="1:9" x14ac:dyDescent="0.3">
      <c r="A305" s="1">
        <v>299</v>
      </c>
      <c r="B305" s="27">
        <v>32332.300781000002</v>
      </c>
      <c r="C305" s="4">
        <v>409.50076300000001</v>
      </c>
      <c r="D305" s="4">
        <v>308.74542200000002</v>
      </c>
      <c r="E305">
        <v>41740.621094000002</v>
      </c>
      <c r="F305" s="34">
        <f t="shared" si="25"/>
        <v>-3.0819063062733805E-3</v>
      </c>
      <c r="G305" s="35">
        <f t="shared" si="26"/>
        <v>-2.6153010967120329E-2</v>
      </c>
      <c r="H305" s="35">
        <f t="shared" si="27"/>
        <v>-6.2464572807075748E-3</v>
      </c>
      <c r="I305" s="36">
        <f t="shared" si="28"/>
        <v>-3.2421932228528768E-3</v>
      </c>
    </row>
    <row r="306" spans="1:9" x14ac:dyDescent="0.3">
      <c r="A306" s="1">
        <v>300</v>
      </c>
      <c r="B306" s="27">
        <v>32697.099609000001</v>
      </c>
      <c r="C306" s="4">
        <v>423.46523999999999</v>
      </c>
      <c r="D306" s="4">
        <v>308.20642099999998</v>
      </c>
      <c r="E306">
        <v>41932.558594000002</v>
      </c>
      <c r="F306" s="34">
        <f t="shared" si="25"/>
        <v>1.1219622279816287E-2</v>
      </c>
      <c r="G306" s="35">
        <f t="shared" si="26"/>
        <v>3.3532666262202575E-2</v>
      </c>
      <c r="H306" s="35">
        <f t="shared" si="27"/>
        <v>-1.7473037587927914E-3</v>
      </c>
      <c r="I306" s="36">
        <f t="shared" si="28"/>
        <v>4.587798321331828E-3</v>
      </c>
    </row>
    <row r="307" spans="1:9" x14ac:dyDescent="0.3">
      <c r="A307" s="1">
        <v>301</v>
      </c>
      <c r="B307" s="27">
        <v>32622</v>
      </c>
      <c r="C307" s="4">
        <v>413.04315200000002</v>
      </c>
      <c r="D307" s="4">
        <v>306.926331</v>
      </c>
      <c r="E307">
        <v>41777.808594000002</v>
      </c>
      <c r="F307" s="34">
        <f t="shared" si="25"/>
        <v>-2.2994696050829596E-3</v>
      </c>
      <c r="G307" s="35">
        <f t="shared" si="26"/>
        <v>-2.4919361037020471E-2</v>
      </c>
      <c r="H307" s="35">
        <f t="shared" si="27"/>
        <v>-4.1620019212928626E-3</v>
      </c>
      <c r="I307" s="36">
        <f t="shared" si="28"/>
        <v>-3.6972762510178113E-3</v>
      </c>
    </row>
    <row r="308" spans="1:9" x14ac:dyDescent="0.3">
      <c r="A308" s="1">
        <v>302</v>
      </c>
      <c r="B308" s="27">
        <v>32824.398437999997</v>
      </c>
      <c r="C308" s="4">
        <v>424.85427900000002</v>
      </c>
      <c r="D308" s="4">
        <v>303.42288200000002</v>
      </c>
      <c r="E308">
        <v>42210.460937999997</v>
      </c>
      <c r="F308" s="34">
        <f t="shared" si="25"/>
        <v>6.1851862924581155E-3</v>
      </c>
      <c r="G308" s="35">
        <f t="shared" si="26"/>
        <v>2.8194165424440129E-2</v>
      </c>
      <c r="H308" s="35">
        <f t="shared" si="27"/>
        <v>-1.1480271961893928E-2</v>
      </c>
      <c r="I308" s="36">
        <f t="shared" si="28"/>
        <v>1.0302776172756847E-2</v>
      </c>
    </row>
    <row r="309" spans="1:9" x14ac:dyDescent="0.3">
      <c r="A309" s="1">
        <v>303</v>
      </c>
      <c r="B309" s="27">
        <v>33439.300780999998</v>
      </c>
      <c r="C309" s="4">
        <v>437.01025399999997</v>
      </c>
      <c r="D309" s="4">
        <v>299.90982100000002</v>
      </c>
      <c r="E309">
        <v>42378.609375</v>
      </c>
      <c r="F309" s="34">
        <f t="shared" si="25"/>
        <v>1.8559784654503277E-2</v>
      </c>
      <c r="G309" s="35">
        <f t="shared" si="26"/>
        <v>2.821042216232094E-2</v>
      </c>
      <c r="H309" s="35">
        <f t="shared" si="27"/>
        <v>-1.1645649858613525E-2</v>
      </c>
      <c r="I309" s="36">
        <f t="shared" si="28"/>
        <v>3.9756592159105293E-3</v>
      </c>
    </row>
    <row r="310" spans="1:9" x14ac:dyDescent="0.3">
      <c r="A310" s="1">
        <v>304</v>
      </c>
      <c r="B310" s="27">
        <v>33775.800780999998</v>
      </c>
      <c r="C310" s="4">
        <v>445.39080799999999</v>
      </c>
      <c r="D310" s="4">
        <v>304.91473400000001</v>
      </c>
      <c r="E310">
        <v>43156.210937999997</v>
      </c>
      <c r="F310" s="34">
        <f t="shared" si="25"/>
        <v>1.0012714508415352E-2</v>
      </c>
      <c r="G310" s="35">
        <f t="shared" si="26"/>
        <v>1.8995457630016265E-2</v>
      </c>
      <c r="H310" s="35">
        <f t="shared" si="27"/>
        <v>1.6550344066008846E-2</v>
      </c>
      <c r="I310" s="36">
        <f t="shared" si="28"/>
        <v>1.818260641512889E-2</v>
      </c>
    </row>
    <row r="311" spans="1:9" x14ac:dyDescent="0.3">
      <c r="A311" s="1">
        <v>305</v>
      </c>
      <c r="B311" s="27">
        <v>34412.300780999998</v>
      </c>
      <c r="C311" s="4">
        <v>445.19503800000001</v>
      </c>
      <c r="D311" s="4">
        <v>309.18817100000001</v>
      </c>
      <c r="E311">
        <v>43251.191405999998</v>
      </c>
      <c r="F311" s="34">
        <f t="shared" si="25"/>
        <v>1.8669488458367498E-2</v>
      </c>
      <c r="G311" s="35">
        <f t="shared" si="26"/>
        <v>-4.3964319449394621E-4</v>
      </c>
      <c r="H311" s="35">
        <f t="shared" si="27"/>
        <v>1.391788232242739E-2</v>
      </c>
      <c r="I311" s="36">
        <f t="shared" si="28"/>
        <v>2.1984344784756324E-3</v>
      </c>
    </row>
    <row r="312" spans="1:9" x14ac:dyDescent="0.3">
      <c r="A312" s="1">
        <v>306</v>
      </c>
      <c r="B312" s="27">
        <v>33768</v>
      </c>
      <c r="C312" s="4">
        <v>452.29849200000001</v>
      </c>
      <c r="D312" s="4">
        <v>302.82617199999999</v>
      </c>
      <c r="E312">
        <v>42259.121094000002</v>
      </c>
      <c r="F312" s="34">
        <f t="shared" si="25"/>
        <v>-1.8900472825385112E-2</v>
      </c>
      <c r="G312" s="35">
        <f t="shared" si="26"/>
        <v>1.582986862121518E-2</v>
      </c>
      <c r="H312" s="35">
        <f t="shared" si="27"/>
        <v>-2.0791108072284681E-2</v>
      </c>
      <c r="I312" s="36">
        <f t="shared" si="28"/>
        <v>-2.3204565572747481E-2</v>
      </c>
    </row>
    <row r="313" spans="1:9" x14ac:dyDescent="0.3">
      <c r="A313" s="1">
        <v>307</v>
      </c>
      <c r="B313" s="27">
        <v>33850</v>
      </c>
      <c r="C313" s="4">
        <v>448.83999599999999</v>
      </c>
      <c r="D313" s="4">
        <v>303.26889</v>
      </c>
      <c r="E313">
        <v>42703.378905999998</v>
      </c>
      <c r="F313" s="34">
        <f t="shared" si="25"/>
        <v>2.4253908780864403E-3</v>
      </c>
      <c r="G313" s="35">
        <f t="shared" si="26"/>
        <v>-7.6758745231284529E-3</v>
      </c>
      <c r="H313" s="35">
        <f t="shared" si="27"/>
        <v>1.46088660506871E-3</v>
      </c>
      <c r="I313" s="36">
        <f t="shared" si="28"/>
        <v>1.0457834006652105E-2</v>
      </c>
    </row>
    <row r="314" spans="1:9" x14ac:dyDescent="0.3">
      <c r="A314" s="1">
        <v>308</v>
      </c>
      <c r="B314" s="27">
        <v>33953</v>
      </c>
      <c r="C314" s="4">
        <v>449.67898600000001</v>
      </c>
      <c r="D314" s="4">
        <v>304.58749399999999</v>
      </c>
      <c r="E314">
        <v>42826.160155999998</v>
      </c>
      <c r="F314" s="34">
        <f t="shared" si="25"/>
        <v>3.0382159854475325E-3</v>
      </c>
      <c r="G314" s="35">
        <f t="shared" si="26"/>
        <v>1.8674958696293534E-3</v>
      </c>
      <c r="H314" s="35">
        <f t="shared" si="27"/>
        <v>4.3385447715768247E-3</v>
      </c>
      <c r="I314" s="36">
        <f t="shared" si="28"/>
        <v>2.8710860759545796E-3</v>
      </c>
    </row>
    <row r="315" spans="1:9" x14ac:dyDescent="0.3">
      <c r="A315" s="1">
        <v>309</v>
      </c>
      <c r="B315" s="27">
        <v>34000</v>
      </c>
      <c r="C315" s="4">
        <v>454.38665800000001</v>
      </c>
      <c r="D315" s="4">
        <v>320.40112299999998</v>
      </c>
      <c r="E315">
        <v>42947.550780999998</v>
      </c>
      <c r="F315" s="34">
        <f t="shared" si="25"/>
        <v>1.3833092724299962E-3</v>
      </c>
      <c r="G315" s="35">
        <f t="shared" si="26"/>
        <v>1.0414541425667804E-2</v>
      </c>
      <c r="H315" s="35">
        <f t="shared" si="27"/>
        <v>5.061533768772207E-2</v>
      </c>
      <c r="I315" s="36">
        <f t="shared" si="28"/>
        <v>2.8304874470029173E-3</v>
      </c>
    </row>
    <row r="316" spans="1:9" x14ac:dyDescent="0.3">
      <c r="A316" s="1">
        <v>310</v>
      </c>
      <c r="B316" s="27">
        <v>34337.5</v>
      </c>
      <c r="C316" s="4">
        <v>456.4375</v>
      </c>
      <c r="D316" s="4">
        <v>318.32214399999998</v>
      </c>
      <c r="E316">
        <v>42942.230469000002</v>
      </c>
      <c r="F316" s="34">
        <f t="shared" si="25"/>
        <v>9.8775268052309368E-3</v>
      </c>
      <c r="G316" s="35">
        <f t="shared" si="26"/>
        <v>4.5032742002274464E-3</v>
      </c>
      <c r="H316" s="35">
        <f t="shared" si="27"/>
        <v>-6.5098187251853307E-3</v>
      </c>
      <c r="I316" s="36">
        <f t="shared" si="28"/>
        <v>-1.2388696139099578E-4</v>
      </c>
    </row>
    <row r="317" spans="1:9" x14ac:dyDescent="0.3">
      <c r="A317" s="1">
        <v>311</v>
      </c>
      <c r="B317" s="27">
        <v>34526.699219000002</v>
      </c>
      <c r="C317" s="4">
        <v>463.61550899999997</v>
      </c>
      <c r="D317" s="4">
        <v>321.49832199999997</v>
      </c>
      <c r="E317">
        <v>43281.28125</v>
      </c>
      <c r="F317" s="34">
        <f t="shared" si="25"/>
        <v>5.4948637229451595E-3</v>
      </c>
      <c r="G317" s="35">
        <f t="shared" si="26"/>
        <v>1.5603784933825719E-2</v>
      </c>
      <c r="H317" s="35">
        <f t="shared" si="27"/>
        <v>9.928422922816026E-3</v>
      </c>
      <c r="I317" s="36">
        <f t="shared" si="28"/>
        <v>7.864502889626172E-3</v>
      </c>
    </row>
    <row r="318" spans="1:9" x14ac:dyDescent="0.3">
      <c r="A318" s="1">
        <v>312</v>
      </c>
      <c r="B318" s="27">
        <v>34819.800780999998</v>
      </c>
      <c r="C318" s="4">
        <v>456.05529799999999</v>
      </c>
      <c r="D318" s="4">
        <v>316.97464000000002</v>
      </c>
      <c r="E318">
        <v>43672.058594000002</v>
      </c>
      <c r="F318" s="34">
        <f t="shared" si="25"/>
        <v>8.4532977835887393E-3</v>
      </c>
      <c r="G318" s="35">
        <f t="shared" si="26"/>
        <v>-1.6441494608222727E-2</v>
      </c>
      <c r="H318" s="35">
        <f t="shared" si="27"/>
        <v>-1.4170553702340083E-2</v>
      </c>
      <c r="I318" s="36">
        <f t="shared" si="28"/>
        <v>8.9882683189027139E-3</v>
      </c>
    </row>
    <row r="319" spans="1:9" x14ac:dyDescent="0.3">
      <c r="A319" s="1">
        <v>313</v>
      </c>
      <c r="B319" s="27">
        <v>34865.699219000002</v>
      </c>
      <c r="C319" s="4">
        <v>448.979828</v>
      </c>
      <c r="D319" s="4">
        <v>322.63406400000002</v>
      </c>
      <c r="E319">
        <v>43324.589844000002</v>
      </c>
      <c r="F319" s="34">
        <f t="shared" si="25"/>
        <v>1.3173025848203543E-3</v>
      </c>
      <c r="G319" s="35">
        <f t="shared" si="26"/>
        <v>-1.5636109476243571E-2</v>
      </c>
      <c r="H319" s="35">
        <f t="shared" si="27"/>
        <v>1.7696981504024965E-2</v>
      </c>
      <c r="I319" s="36">
        <f t="shared" si="28"/>
        <v>-7.9881375641877167E-3</v>
      </c>
    </row>
    <row r="320" spans="1:9" x14ac:dyDescent="0.3">
      <c r="A320" s="1">
        <v>314</v>
      </c>
      <c r="B320" s="27">
        <v>34959.800780999998</v>
      </c>
      <c r="C320" s="4">
        <v>450.26626599999997</v>
      </c>
      <c r="D320" s="4">
        <v>312.864868</v>
      </c>
      <c r="E320">
        <v>43339.75</v>
      </c>
      <c r="F320" s="34">
        <f t="shared" si="25"/>
        <v>2.6953367743701743E-3</v>
      </c>
      <c r="G320" s="35">
        <f t="shared" si="26"/>
        <v>2.8611497701630313E-3</v>
      </c>
      <c r="H320" s="35">
        <f t="shared" si="27"/>
        <v>-3.0747386493307188E-2</v>
      </c>
      <c r="I320" s="36">
        <f t="shared" si="28"/>
        <v>3.4985915041690896E-4</v>
      </c>
    </row>
    <row r="321" spans="1:9" x14ac:dyDescent="0.3">
      <c r="A321" s="1">
        <v>315</v>
      </c>
      <c r="B321" s="27">
        <v>34778</v>
      </c>
      <c r="C321" s="4">
        <v>446.56542999999999</v>
      </c>
      <c r="D321" s="4">
        <v>328.774719</v>
      </c>
      <c r="E321">
        <v>43937.390625</v>
      </c>
      <c r="F321" s="34">
        <f t="shared" si="25"/>
        <v>-5.213849327239427E-3</v>
      </c>
      <c r="G321" s="35">
        <f t="shared" si="26"/>
        <v>-8.2531806655587996E-3</v>
      </c>
      <c r="H321" s="35">
        <f t="shared" si="27"/>
        <v>4.9601405851979176E-2</v>
      </c>
      <c r="I321" s="36">
        <f t="shared" si="28"/>
        <v>1.369545248810429E-2</v>
      </c>
    </row>
    <row r="322" spans="1:9" x14ac:dyDescent="0.3">
      <c r="A322" s="1">
        <v>316</v>
      </c>
      <c r="B322" s="27">
        <v>35049</v>
      </c>
      <c r="C322" s="4">
        <v>446.04339599999997</v>
      </c>
      <c r="D322" s="4">
        <v>331.65252700000002</v>
      </c>
      <c r="E322">
        <v>44989.859375</v>
      </c>
      <c r="F322" s="34">
        <f t="shared" si="25"/>
        <v>7.7620794432439917E-3</v>
      </c>
      <c r="G322" s="35">
        <f t="shared" si="26"/>
        <v>-1.1696815991793408E-3</v>
      </c>
      <c r="H322" s="35">
        <f t="shared" si="27"/>
        <v>8.7150438810958946E-3</v>
      </c>
      <c r="I322" s="36">
        <f t="shared" si="28"/>
        <v>2.3671436917248587E-2</v>
      </c>
    </row>
    <row r="323" spans="1:9" x14ac:dyDescent="0.3">
      <c r="A323" s="1">
        <v>317</v>
      </c>
      <c r="B323" s="27">
        <v>35080</v>
      </c>
      <c r="C323" s="4">
        <v>435.919556</v>
      </c>
      <c r="D323" s="4">
        <v>328.31271400000003</v>
      </c>
      <c r="E323">
        <v>45436.28125</v>
      </c>
      <c r="F323" s="34">
        <f t="shared" si="25"/>
        <v>8.8408510086119261E-4</v>
      </c>
      <c r="G323" s="35">
        <f t="shared" si="26"/>
        <v>-2.2958525996299849E-2</v>
      </c>
      <c r="H323" s="35">
        <f t="shared" si="27"/>
        <v>-1.0121264888926026E-2</v>
      </c>
      <c r="I323" s="36">
        <f t="shared" si="28"/>
        <v>9.8738152219503654E-3</v>
      </c>
    </row>
    <row r="324" spans="1:9" x14ac:dyDescent="0.3">
      <c r="A324" s="1">
        <v>318</v>
      </c>
      <c r="B324" s="27">
        <v>34805</v>
      </c>
      <c r="C324" s="4">
        <v>434.120453</v>
      </c>
      <c r="D324" s="4">
        <v>330.51681500000001</v>
      </c>
      <c r="E324">
        <v>45151.628905999998</v>
      </c>
      <c r="F324" s="34">
        <f t="shared" si="25"/>
        <v>-7.8701128833524644E-3</v>
      </c>
      <c r="G324" s="35">
        <f t="shared" si="26"/>
        <v>-4.135684671264182E-3</v>
      </c>
      <c r="H324" s="35">
        <f t="shared" si="27"/>
        <v>6.6909849239466532E-3</v>
      </c>
      <c r="I324" s="36">
        <f t="shared" si="28"/>
        <v>-6.2845755110657467E-3</v>
      </c>
    </row>
    <row r="325" spans="1:9" x14ac:dyDescent="0.3">
      <c r="A325" s="1">
        <v>319</v>
      </c>
      <c r="B325" s="27">
        <v>34796</v>
      </c>
      <c r="C325" s="4">
        <v>454.24679600000002</v>
      </c>
      <c r="D325" s="4">
        <v>323.75054899999998</v>
      </c>
      <c r="E325">
        <v>44909.140625</v>
      </c>
      <c r="F325" s="34">
        <f t="shared" si="25"/>
        <v>-2.5861697533547285E-4</v>
      </c>
      <c r="G325" s="35">
        <f t="shared" si="26"/>
        <v>4.5318616799156428E-2</v>
      </c>
      <c r="H325" s="35">
        <f t="shared" si="27"/>
        <v>-2.0684226690718021E-2</v>
      </c>
      <c r="I325" s="36">
        <f t="shared" si="28"/>
        <v>-5.3850054411296302E-3</v>
      </c>
    </row>
    <row r="326" spans="1:9" x14ac:dyDescent="0.3">
      <c r="A326" s="1">
        <v>320</v>
      </c>
      <c r="B326" s="27">
        <v>34700</v>
      </c>
      <c r="C326" s="4">
        <v>438.52975500000002</v>
      </c>
      <c r="D326" s="4">
        <v>327.28286700000001</v>
      </c>
      <c r="E326">
        <v>44580.058594000002</v>
      </c>
      <c r="F326" s="34">
        <f t="shared" si="25"/>
        <v>-2.762750692480798E-3</v>
      </c>
      <c r="G326" s="35">
        <f t="shared" si="26"/>
        <v>-3.5212988028211815E-2</v>
      </c>
      <c r="H326" s="35">
        <f t="shared" si="27"/>
        <v>1.0851524900677771E-2</v>
      </c>
      <c r="I326" s="36">
        <f t="shared" si="28"/>
        <v>-7.3547091102795364E-3</v>
      </c>
    </row>
    <row r="327" spans="1:9" x14ac:dyDescent="0.3">
      <c r="A327" s="1">
        <v>321</v>
      </c>
      <c r="B327" s="27">
        <v>34600</v>
      </c>
      <c r="C327" s="4">
        <v>437.50433299999997</v>
      </c>
      <c r="D327" s="4">
        <v>331.43118299999998</v>
      </c>
      <c r="E327">
        <v>44686.058594000002</v>
      </c>
      <c r="F327" s="34">
        <f t="shared" si="25"/>
        <v>-2.8860048891349867E-3</v>
      </c>
      <c r="G327" s="35">
        <f t="shared" si="26"/>
        <v>-2.3410560898687923E-3</v>
      </c>
      <c r="H327" s="35">
        <f t="shared" si="27"/>
        <v>1.2595361649493347E-2</v>
      </c>
      <c r="I327" s="36">
        <f t="shared" si="28"/>
        <v>2.3749223817816504E-3</v>
      </c>
    </row>
    <row r="328" spans="1:9" x14ac:dyDescent="0.3">
      <c r="A328" s="1">
        <v>322</v>
      </c>
      <c r="B328" s="27">
        <v>34760</v>
      </c>
      <c r="C328" s="4">
        <v>432.19073500000002</v>
      </c>
      <c r="D328" s="4">
        <v>323.50991800000003</v>
      </c>
      <c r="E328">
        <v>44625.78125</v>
      </c>
      <c r="F328" s="34">
        <f t="shared" ref="F328:F391" si="29">LN(B328/B327)</f>
        <v>4.6136183335127147E-3</v>
      </c>
      <c r="G328" s="35">
        <f t="shared" ref="G328:G391" si="30">LN(C328/C327)</f>
        <v>-1.2219602740410115E-2</v>
      </c>
      <c r="H328" s="35">
        <f t="shared" ref="H328:H391" si="31">LN(D328/D327)</f>
        <v>-2.4190423420887997E-2</v>
      </c>
      <c r="I328" s="36">
        <f t="shared" ref="I328:I391" si="32">LN(E328/E327)</f>
        <v>-1.3498177454957557E-3</v>
      </c>
    </row>
    <row r="329" spans="1:9" x14ac:dyDescent="0.3">
      <c r="A329" s="1">
        <v>323</v>
      </c>
      <c r="B329" s="27">
        <v>35257.398437999997</v>
      </c>
      <c r="C329" s="4">
        <v>436.506866</v>
      </c>
      <c r="D329" s="4">
        <v>329.02496300000001</v>
      </c>
      <c r="E329">
        <v>45009.359375</v>
      </c>
      <c r="F329" s="34">
        <f t="shared" si="29"/>
        <v>1.4208091604317585E-2</v>
      </c>
      <c r="G329" s="35">
        <f t="shared" si="30"/>
        <v>9.9370978155443219E-3</v>
      </c>
      <c r="H329" s="35">
        <f t="shared" si="31"/>
        <v>1.6903851372431666E-2</v>
      </c>
      <c r="I329" s="36">
        <f t="shared" si="32"/>
        <v>8.5587073059597962E-3</v>
      </c>
    </row>
    <row r="330" spans="1:9" x14ac:dyDescent="0.3">
      <c r="A330" s="1">
        <v>324</v>
      </c>
      <c r="B330" s="27">
        <v>35066</v>
      </c>
      <c r="C330" s="4">
        <v>419.86691300000001</v>
      </c>
      <c r="D330" s="4">
        <v>324.92477400000001</v>
      </c>
      <c r="E330">
        <v>45525.289062999997</v>
      </c>
      <c r="F330" s="34">
        <f t="shared" si="29"/>
        <v>-5.4433919535723718E-3</v>
      </c>
      <c r="G330" s="35">
        <f t="shared" si="30"/>
        <v>-3.8866317570982675E-2</v>
      </c>
      <c r="H330" s="35">
        <f t="shared" si="31"/>
        <v>-1.2539932344635643E-2</v>
      </c>
      <c r="I330" s="36">
        <f t="shared" si="32"/>
        <v>1.1397520882401571E-2</v>
      </c>
    </row>
    <row r="331" spans="1:9" x14ac:dyDescent="0.3">
      <c r="A331" s="1">
        <v>325</v>
      </c>
      <c r="B331" s="27">
        <v>35554</v>
      </c>
      <c r="C331" s="4">
        <v>421.880493</v>
      </c>
      <c r="D331" s="4">
        <v>326.224152</v>
      </c>
      <c r="E331">
        <v>45381.21875</v>
      </c>
      <c r="F331" s="34">
        <f t="shared" si="29"/>
        <v>1.3820667452557113E-2</v>
      </c>
      <c r="G331" s="35">
        <f t="shared" si="30"/>
        <v>4.7842947336970733E-3</v>
      </c>
      <c r="H331" s="35">
        <f t="shared" si="31"/>
        <v>3.9910369897407268E-3</v>
      </c>
      <c r="I331" s="36">
        <f t="shared" si="32"/>
        <v>-3.1696396019212847E-3</v>
      </c>
    </row>
    <row r="332" spans="1:9" x14ac:dyDescent="0.3">
      <c r="A332" s="1">
        <v>326</v>
      </c>
      <c r="B332" s="27">
        <v>36296.101562999997</v>
      </c>
      <c r="C332" s="4">
        <v>433.29070999999999</v>
      </c>
      <c r="D332" s="4">
        <v>326.75347900000003</v>
      </c>
      <c r="E332">
        <v>45148.320312999997</v>
      </c>
      <c r="F332" s="34">
        <f t="shared" si="29"/>
        <v>2.0657673044382225E-2</v>
      </c>
      <c r="G332" s="35">
        <f t="shared" si="30"/>
        <v>2.6686806418769932E-2</v>
      </c>
      <c r="H332" s="35">
        <f t="shared" si="31"/>
        <v>1.621271819480281E-3</v>
      </c>
      <c r="I332" s="36">
        <f t="shared" si="32"/>
        <v>-5.1452587347076634E-3</v>
      </c>
    </row>
    <row r="333" spans="1:9" x14ac:dyDescent="0.3">
      <c r="A333" s="1">
        <v>327</v>
      </c>
      <c r="B333" s="27">
        <v>36334.101562999997</v>
      </c>
      <c r="C333" s="4">
        <v>427.05426</v>
      </c>
      <c r="D333" s="4">
        <v>330.04519699999997</v>
      </c>
      <c r="E333">
        <v>45045.328125</v>
      </c>
      <c r="F333" s="34">
        <f t="shared" si="29"/>
        <v>1.0463967284079672E-3</v>
      </c>
      <c r="G333" s="35">
        <f t="shared" si="30"/>
        <v>-1.4497810650126194E-2</v>
      </c>
      <c r="H333" s="35">
        <f t="shared" si="31"/>
        <v>1.0023605956833282E-2</v>
      </c>
      <c r="I333" s="36">
        <f t="shared" si="32"/>
        <v>-2.2838023419341404E-3</v>
      </c>
    </row>
    <row r="334" spans="1:9" x14ac:dyDescent="0.3">
      <c r="A334" s="1">
        <v>328</v>
      </c>
      <c r="B334" s="27">
        <v>36345.398437999997</v>
      </c>
      <c r="C334" s="4">
        <v>420.30508400000002</v>
      </c>
      <c r="D334" s="4">
        <v>338.601654</v>
      </c>
      <c r="E334">
        <v>45026.679687999997</v>
      </c>
      <c r="F334" s="34">
        <f t="shared" si="29"/>
        <v>3.1086826659026528E-4</v>
      </c>
      <c r="G334" s="35">
        <f t="shared" si="30"/>
        <v>-1.5930239695386015E-2</v>
      </c>
      <c r="H334" s="35">
        <f t="shared" si="31"/>
        <v>2.5594748818611693E-2</v>
      </c>
      <c r="I334" s="36">
        <f t="shared" si="32"/>
        <v>-4.1407841835110063E-4</v>
      </c>
    </row>
    <row r="335" spans="1:9" x14ac:dyDescent="0.3">
      <c r="A335" s="1">
        <v>329</v>
      </c>
      <c r="B335" s="27">
        <v>36916.898437999997</v>
      </c>
      <c r="C335" s="4">
        <v>414.92623900000001</v>
      </c>
      <c r="D335" s="4">
        <v>342.86547899999999</v>
      </c>
      <c r="E335">
        <v>44974.96875</v>
      </c>
      <c r="F335" s="34">
        <f t="shared" si="29"/>
        <v>1.5601792927801535E-2</v>
      </c>
      <c r="G335" s="35">
        <f t="shared" si="30"/>
        <v>-1.288007097558512E-2</v>
      </c>
      <c r="H335" s="35">
        <f t="shared" si="31"/>
        <v>1.2513826228198487E-2</v>
      </c>
      <c r="I335" s="36">
        <f t="shared" si="32"/>
        <v>-1.1491110349114574E-3</v>
      </c>
    </row>
    <row r="336" spans="1:9" x14ac:dyDescent="0.3">
      <c r="A336" s="1">
        <v>330</v>
      </c>
      <c r="B336" s="27">
        <v>36842.101562999997</v>
      </c>
      <c r="C336" s="4">
        <v>425.60931399999998</v>
      </c>
      <c r="D336" s="4">
        <v>344.790436</v>
      </c>
      <c r="E336">
        <v>44956.730469000002</v>
      </c>
      <c r="F336" s="34">
        <f t="shared" si="29"/>
        <v>-2.0281430235736513E-3</v>
      </c>
      <c r="G336" s="35">
        <f t="shared" si="30"/>
        <v>2.542105510232474E-2</v>
      </c>
      <c r="H336" s="35">
        <f t="shared" si="31"/>
        <v>5.5986198506628466E-3</v>
      </c>
      <c r="I336" s="36">
        <f t="shared" si="32"/>
        <v>-4.0560294998149356E-4</v>
      </c>
    </row>
    <row r="337" spans="1:9" x14ac:dyDescent="0.3">
      <c r="A337" s="1">
        <v>331</v>
      </c>
      <c r="B337" s="27">
        <v>36428.101562999997</v>
      </c>
      <c r="C337" s="4">
        <v>420.10000600000001</v>
      </c>
      <c r="D337" s="4">
        <v>342.95208700000001</v>
      </c>
      <c r="E337">
        <v>44597.320312999997</v>
      </c>
      <c r="F337" s="34">
        <f t="shared" si="29"/>
        <v>-1.1300757694760782E-2</v>
      </c>
      <c r="G337" s="35">
        <f t="shared" si="30"/>
        <v>-1.3029029728820835E-2</v>
      </c>
      <c r="H337" s="35">
        <f t="shared" si="31"/>
        <v>-5.3460512238031905E-3</v>
      </c>
      <c r="I337" s="36">
        <f t="shared" si="32"/>
        <v>-8.0267075030915694E-3</v>
      </c>
    </row>
    <row r="338" spans="1:9" x14ac:dyDescent="0.3">
      <c r="A338" s="1">
        <v>332</v>
      </c>
      <c r="B338" s="27">
        <v>36177</v>
      </c>
      <c r="C338" s="4">
        <v>427.09155299999998</v>
      </c>
      <c r="D338" s="4">
        <v>343.81832900000001</v>
      </c>
      <c r="E338">
        <v>44312.429687999997</v>
      </c>
      <c r="F338" s="34">
        <f t="shared" si="29"/>
        <v>-6.9169399597759007E-3</v>
      </c>
      <c r="G338" s="35">
        <f t="shared" si="30"/>
        <v>1.6505607624536258E-2</v>
      </c>
      <c r="H338" s="35">
        <f t="shared" si="31"/>
        <v>2.5226551383126317E-3</v>
      </c>
      <c r="I338" s="36">
        <f t="shared" si="32"/>
        <v>-6.4085569923401997E-3</v>
      </c>
    </row>
    <row r="339" spans="1:9" x14ac:dyDescent="0.3">
      <c r="A339" s="1">
        <v>333</v>
      </c>
      <c r="B339" s="27">
        <v>37173</v>
      </c>
      <c r="C339" s="4">
        <v>416.30587800000001</v>
      </c>
      <c r="D339" s="4">
        <v>368.13067599999999</v>
      </c>
      <c r="E339">
        <v>44277.238280999998</v>
      </c>
      <c r="F339" s="34">
        <f t="shared" si="29"/>
        <v>2.7159133512900283E-2</v>
      </c>
      <c r="G339" s="35">
        <f t="shared" si="30"/>
        <v>-2.5578126355667204E-2</v>
      </c>
      <c r="H339" s="35">
        <f t="shared" si="31"/>
        <v>6.8324568462384716E-2</v>
      </c>
      <c r="I339" s="36">
        <f t="shared" si="32"/>
        <v>-7.944811095439247E-4</v>
      </c>
    </row>
    <row r="340" spans="1:9" x14ac:dyDescent="0.3">
      <c r="A340" s="1">
        <v>334</v>
      </c>
      <c r="B340" s="27">
        <v>37011.101562999997</v>
      </c>
      <c r="C340" s="4">
        <v>410.824524</v>
      </c>
      <c r="D340" s="4">
        <v>354.05911300000002</v>
      </c>
      <c r="E340">
        <v>44116.699219000002</v>
      </c>
      <c r="F340" s="34">
        <f t="shared" si="29"/>
        <v>-4.3647814186700525E-3</v>
      </c>
      <c r="G340" s="35">
        <f t="shared" si="30"/>
        <v>-1.3254099304028205E-2</v>
      </c>
      <c r="H340" s="35">
        <f t="shared" si="31"/>
        <v>-3.8974087893814818E-2</v>
      </c>
      <c r="I340" s="36">
        <f t="shared" si="32"/>
        <v>-3.6323585769225419E-3</v>
      </c>
    </row>
    <row r="341" spans="1:9" x14ac:dyDescent="0.3">
      <c r="A341" s="1">
        <v>335</v>
      </c>
      <c r="B341" s="27">
        <v>36534.398437999997</v>
      </c>
      <c r="C341" s="4">
        <v>393.25238000000002</v>
      </c>
      <c r="D341" s="4">
        <v>351.86468500000001</v>
      </c>
      <c r="E341">
        <v>43583.601562999997</v>
      </c>
      <c r="F341" s="34">
        <f t="shared" si="29"/>
        <v>-1.2963670138151633E-2</v>
      </c>
      <c r="G341" s="35">
        <f t="shared" si="30"/>
        <v>-4.3714580372729135E-2</v>
      </c>
      <c r="H341" s="35">
        <f t="shared" si="31"/>
        <v>-6.2172009918228287E-3</v>
      </c>
      <c r="I341" s="36">
        <f t="shared" si="32"/>
        <v>-1.2157409206852382E-2</v>
      </c>
    </row>
    <row r="342" spans="1:9" x14ac:dyDescent="0.3">
      <c r="A342" s="1">
        <v>336</v>
      </c>
      <c r="B342" s="27">
        <v>36878</v>
      </c>
      <c r="C342" s="4">
        <v>386.279449</v>
      </c>
      <c r="D342" s="4">
        <v>363.16424599999999</v>
      </c>
      <c r="E342">
        <v>43410.738280999998</v>
      </c>
      <c r="F342" s="34">
        <f t="shared" si="29"/>
        <v>9.3609275373290543E-3</v>
      </c>
      <c r="G342" s="35">
        <f t="shared" si="30"/>
        <v>-1.7890525378488353E-2</v>
      </c>
      <c r="H342" s="35">
        <f t="shared" si="31"/>
        <v>3.1608516174418615E-2</v>
      </c>
      <c r="I342" s="36">
        <f t="shared" si="32"/>
        <v>-3.9741323360321578E-3</v>
      </c>
    </row>
    <row r="343" spans="1:9" x14ac:dyDescent="0.3">
      <c r="A343" s="1">
        <v>337</v>
      </c>
      <c r="B343" s="27">
        <v>36517.300780999998</v>
      </c>
      <c r="C343" s="4">
        <v>378.62600700000002</v>
      </c>
      <c r="D343" s="4">
        <v>358.67907700000001</v>
      </c>
      <c r="E343">
        <v>43193.359375</v>
      </c>
      <c r="F343" s="34">
        <f t="shared" si="29"/>
        <v>-9.8290249941982953E-3</v>
      </c>
      <c r="G343" s="35">
        <f t="shared" si="30"/>
        <v>-2.0012139703770533E-2</v>
      </c>
      <c r="H343" s="35">
        <f t="shared" si="31"/>
        <v>-1.2427147495362875E-2</v>
      </c>
      <c r="I343" s="36">
        <f t="shared" si="32"/>
        <v>-5.0200710682105224E-3</v>
      </c>
    </row>
    <row r="344" spans="1:9" x14ac:dyDescent="0.3">
      <c r="A344" s="1">
        <v>338</v>
      </c>
      <c r="B344" s="27">
        <v>36325</v>
      </c>
      <c r="C344" s="4">
        <v>396.17019699999997</v>
      </c>
      <c r="D344" s="4">
        <v>357.77435300000002</v>
      </c>
      <c r="E344">
        <v>43382.351562999997</v>
      </c>
      <c r="F344" s="34">
        <f t="shared" si="29"/>
        <v>-5.2799328324280078E-3</v>
      </c>
      <c r="G344" s="35">
        <f t="shared" si="30"/>
        <v>4.5294980357577501E-2</v>
      </c>
      <c r="H344" s="35">
        <f t="shared" si="31"/>
        <v>-2.525563959953187E-3</v>
      </c>
      <c r="I344" s="36">
        <f t="shared" si="32"/>
        <v>4.3659471267033841E-3</v>
      </c>
    </row>
    <row r="345" spans="1:9" x14ac:dyDescent="0.3">
      <c r="A345" s="1">
        <v>339</v>
      </c>
      <c r="B345" s="27">
        <v>35000.101562999997</v>
      </c>
      <c r="C345" s="4">
        <v>405.44567899999998</v>
      </c>
      <c r="D345" s="4">
        <v>364.213348</v>
      </c>
      <c r="E345">
        <v>43142.460937999997</v>
      </c>
      <c r="F345" s="34">
        <f t="shared" si="29"/>
        <v>-3.7155246171143255E-2</v>
      </c>
      <c r="G345" s="35">
        <f t="shared" si="30"/>
        <v>2.314299471433243E-2</v>
      </c>
      <c r="H345" s="35">
        <f t="shared" si="31"/>
        <v>1.7837328017936901E-2</v>
      </c>
      <c r="I345" s="36">
        <f t="shared" si="32"/>
        <v>-5.545027668526839E-3</v>
      </c>
    </row>
    <row r="346" spans="1:9" x14ac:dyDescent="0.3">
      <c r="A346" s="1">
        <v>340</v>
      </c>
      <c r="B346" s="27">
        <v>35335.5</v>
      </c>
      <c r="C346" s="4">
        <v>413.06179800000001</v>
      </c>
      <c r="D346" s="4">
        <v>353.34689300000002</v>
      </c>
      <c r="E346">
        <v>43431.53125</v>
      </c>
      <c r="F346" s="34">
        <f t="shared" si="29"/>
        <v>9.5371610334304361E-3</v>
      </c>
      <c r="G346" s="35">
        <f t="shared" si="30"/>
        <v>1.8610309689133839E-2</v>
      </c>
      <c r="H346" s="35">
        <f t="shared" si="31"/>
        <v>-3.0289542697365994E-2</v>
      </c>
      <c r="I346" s="36">
        <f t="shared" si="32"/>
        <v>6.6780190903437675E-3</v>
      </c>
    </row>
    <row r="347" spans="1:9" x14ac:dyDescent="0.3">
      <c r="A347" s="1">
        <v>341</v>
      </c>
      <c r="B347" s="27">
        <v>35695</v>
      </c>
      <c r="C347" s="4">
        <v>403.26431300000002</v>
      </c>
      <c r="D347" s="4">
        <v>346.465149</v>
      </c>
      <c r="E347">
        <v>43338.820312999997</v>
      </c>
      <c r="F347" s="34">
        <f t="shared" si="29"/>
        <v>1.0122498635790138E-2</v>
      </c>
      <c r="G347" s="35">
        <f t="shared" si="30"/>
        <v>-2.4005003242775901E-2</v>
      </c>
      <c r="H347" s="35">
        <f t="shared" si="31"/>
        <v>-1.9668040631880011E-2</v>
      </c>
      <c r="I347" s="36">
        <f t="shared" si="32"/>
        <v>-2.1369274322403055E-3</v>
      </c>
    </row>
    <row r="348" spans="1:9" x14ac:dyDescent="0.3">
      <c r="A348" s="1">
        <v>342</v>
      </c>
      <c r="B348" s="27">
        <v>36430</v>
      </c>
      <c r="C348" s="4">
        <v>393.53201300000001</v>
      </c>
      <c r="D348" s="4">
        <v>347.62014799999997</v>
      </c>
      <c r="E348">
        <v>43442.488280999998</v>
      </c>
      <c r="F348" s="34">
        <f t="shared" si="29"/>
        <v>2.0381988066048608E-2</v>
      </c>
      <c r="G348" s="35">
        <f t="shared" si="30"/>
        <v>-2.4429791426610916E-2</v>
      </c>
      <c r="H348" s="35">
        <f t="shared" si="31"/>
        <v>3.3281214026395917E-3</v>
      </c>
      <c r="I348" s="36">
        <f t="shared" si="32"/>
        <v>2.3891784761601725E-3</v>
      </c>
    </row>
    <row r="349" spans="1:9" x14ac:dyDescent="0.3">
      <c r="A349" s="1">
        <v>343</v>
      </c>
      <c r="B349" s="27">
        <v>36020</v>
      </c>
      <c r="C349" s="4">
        <v>395.29391500000003</v>
      </c>
      <c r="D349" s="4">
        <v>349.12164300000001</v>
      </c>
      <c r="E349">
        <v>43445.621094000002</v>
      </c>
      <c r="F349" s="34">
        <f t="shared" si="29"/>
        <v>-1.131827127266238E-2</v>
      </c>
      <c r="G349" s="35">
        <f t="shared" si="30"/>
        <v>4.4671577528786885E-3</v>
      </c>
      <c r="H349" s="35">
        <f t="shared" si="31"/>
        <v>4.3100538643710733E-3</v>
      </c>
      <c r="I349" s="36">
        <f t="shared" si="32"/>
        <v>7.2111432137243918E-5</v>
      </c>
    </row>
    <row r="350" spans="1:9" x14ac:dyDescent="0.3">
      <c r="A350" s="1">
        <v>344</v>
      </c>
      <c r="B350" s="27">
        <v>35520.601562999997</v>
      </c>
      <c r="C350" s="4">
        <v>408.29821800000002</v>
      </c>
      <c r="D350" s="4">
        <v>346.72500600000001</v>
      </c>
      <c r="E350">
        <v>43519.21875</v>
      </c>
      <c r="F350" s="34">
        <f t="shared" si="29"/>
        <v>-1.3961485871981169E-2</v>
      </c>
      <c r="G350" s="35">
        <f t="shared" si="30"/>
        <v>3.2368257066054382E-2</v>
      </c>
      <c r="H350" s="35">
        <f t="shared" si="31"/>
        <v>-6.8884329046932473E-3</v>
      </c>
      <c r="I350" s="36">
        <f t="shared" si="32"/>
        <v>1.6925845825161905E-3</v>
      </c>
    </row>
    <row r="351" spans="1:9" x14ac:dyDescent="0.3">
      <c r="A351" s="1">
        <v>345</v>
      </c>
      <c r="B351" s="27">
        <v>35350</v>
      </c>
      <c r="C351" s="4">
        <v>406.87194799999997</v>
      </c>
      <c r="D351" s="4">
        <v>342.29760700000003</v>
      </c>
      <c r="E351">
        <v>43190.101562999997</v>
      </c>
      <c r="F351" s="34">
        <f t="shared" si="29"/>
        <v>-4.81446153324712E-3</v>
      </c>
      <c r="G351" s="35">
        <f t="shared" si="30"/>
        <v>-3.499322018660992E-3</v>
      </c>
      <c r="H351" s="35">
        <f t="shared" si="31"/>
        <v>-1.2851421279092853E-2</v>
      </c>
      <c r="I351" s="36">
        <f t="shared" si="32"/>
        <v>-7.5913123604596459E-3</v>
      </c>
    </row>
    <row r="352" spans="1:9" x14ac:dyDescent="0.3">
      <c r="A352" s="1">
        <v>346</v>
      </c>
      <c r="B352" s="27">
        <v>35462.601562999997</v>
      </c>
      <c r="C352" s="4">
        <v>402.76086400000003</v>
      </c>
      <c r="D352" s="4">
        <v>346.975281</v>
      </c>
      <c r="E352">
        <v>42942.230469000002</v>
      </c>
      <c r="F352" s="34">
        <f t="shared" si="29"/>
        <v>3.1802717431687285E-3</v>
      </c>
      <c r="G352" s="35">
        <f t="shared" si="30"/>
        <v>-1.0155515616185429E-2</v>
      </c>
      <c r="H352" s="35">
        <f t="shared" si="31"/>
        <v>1.35729865301072E-2</v>
      </c>
      <c r="I352" s="36">
        <f t="shared" si="32"/>
        <v>-5.7556035560668104E-3</v>
      </c>
    </row>
    <row r="353" spans="1:9" x14ac:dyDescent="0.3">
      <c r="A353" s="1">
        <v>347</v>
      </c>
      <c r="B353" s="27">
        <v>34520</v>
      </c>
      <c r="C353" s="4">
        <v>408.75500499999998</v>
      </c>
      <c r="D353" s="4">
        <v>344.74230999999997</v>
      </c>
      <c r="E353">
        <v>42812.570312999997</v>
      </c>
      <c r="F353" s="34">
        <f t="shared" si="29"/>
        <v>-2.6939797870523276E-2</v>
      </c>
      <c r="G353" s="35">
        <f t="shared" si="30"/>
        <v>1.4772970541569959E-2</v>
      </c>
      <c r="H353" s="35">
        <f t="shared" si="31"/>
        <v>-6.4563306924194999E-3</v>
      </c>
      <c r="I353" s="36">
        <f t="shared" si="32"/>
        <v>-3.0239765849456521E-3</v>
      </c>
    </row>
    <row r="354" spans="1:9" x14ac:dyDescent="0.3">
      <c r="A354" s="1">
        <v>348</v>
      </c>
      <c r="B354" s="27">
        <v>34649</v>
      </c>
      <c r="C354" s="4">
        <v>404.38296500000001</v>
      </c>
      <c r="D354" s="4">
        <v>349.82421900000003</v>
      </c>
      <c r="E354">
        <v>42617.601562999997</v>
      </c>
      <c r="F354" s="34">
        <f t="shared" si="29"/>
        <v>3.729998975366446E-3</v>
      </c>
      <c r="G354" s="35">
        <f t="shared" si="30"/>
        <v>-1.0753604660266194E-2</v>
      </c>
      <c r="H354" s="35">
        <f t="shared" si="31"/>
        <v>1.4633586488667315E-2</v>
      </c>
      <c r="I354" s="36">
        <f t="shared" si="32"/>
        <v>-4.5644081994411423E-3</v>
      </c>
    </row>
    <row r="355" spans="1:9" x14ac:dyDescent="0.3">
      <c r="A355" s="1">
        <v>349</v>
      </c>
      <c r="B355" s="27">
        <v>34649</v>
      </c>
      <c r="C355" s="4">
        <v>402.29476899999997</v>
      </c>
      <c r="D355" s="4">
        <v>355.98410000000001</v>
      </c>
      <c r="E355">
        <v>42491.429687999997</v>
      </c>
      <c r="F355" s="34">
        <f t="shared" si="29"/>
        <v>0</v>
      </c>
      <c r="G355" s="35">
        <f t="shared" si="30"/>
        <v>-5.1772859876215421E-3</v>
      </c>
      <c r="H355" s="35">
        <f t="shared" si="31"/>
        <v>1.7455270038823002E-2</v>
      </c>
      <c r="I355" s="36">
        <f t="shared" si="32"/>
        <v>-2.964948973710726E-3</v>
      </c>
    </row>
    <row r="356" spans="1:9" x14ac:dyDescent="0.3">
      <c r="A356" s="1">
        <v>350</v>
      </c>
      <c r="B356" s="27">
        <v>35170</v>
      </c>
      <c r="C356" s="4">
        <v>401.437164</v>
      </c>
      <c r="D356" s="4">
        <v>352.317047</v>
      </c>
      <c r="E356">
        <v>42207.710937999997</v>
      </c>
      <c r="F356" s="34">
        <f t="shared" si="29"/>
        <v>1.4924581295297591E-2</v>
      </c>
      <c r="G356" s="35">
        <f t="shared" si="30"/>
        <v>-2.1340581113271548E-3</v>
      </c>
      <c r="H356" s="35">
        <f t="shared" si="31"/>
        <v>-1.0354595018997513E-2</v>
      </c>
      <c r="I356" s="36">
        <f t="shared" si="32"/>
        <v>-6.6994731960662588E-3</v>
      </c>
    </row>
    <row r="357" spans="1:9" x14ac:dyDescent="0.3">
      <c r="A357" s="1">
        <v>351</v>
      </c>
      <c r="B357" s="27">
        <v>34844.101562999997</v>
      </c>
      <c r="C357" s="4">
        <v>410.34982300000001</v>
      </c>
      <c r="D357" s="4">
        <v>353.135132</v>
      </c>
      <c r="E357">
        <v>42854.75</v>
      </c>
      <c r="F357" s="34">
        <f t="shared" si="29"/>
        <v>-9.3095757418508798E-3</v>
      </c>
      <c r="G357" s="35">
        <f t="shared" si="30"/>
        <v>2.1959004710925715E-2</v>
      </c>
      <c r="H357" s="35">
        <f t="shared" si="31"/>
        <v>2.3193219642004175E-3</v>
      </c>
      <c r="I357" s="36">
        <f t="shared" si="32"/>
        <v>1.5213562709493334E-2</v>
      </c>
    </row>
    <row r="358" spans="1:9" x14ac:dyDescent="0.3">
      <c r="A358" s="1">
        <v>352</v>
      </c>
      <c r="B358" s="27">
        <v>34714</v>
      </c>
      <c r="C358" s="4">
        <v>407.64956699999999</v>
      </c>
      <c r="D358" s="4">
        <v>352.97155800000002</v>
      </c>
      <c r="E358">
        <v>43345.820312999997</v>
      </c>
      <c r="F358" s="34">
        <f t="shared" si="29"/>
        <v>-3.7408069453502891E-3</v>
      </c>
      <c r="G358" s="35">
        <f t="shared" si="30"/>
        <v>-6.6021218138697024E-3</v>
      </c>
      <c r="H358" s="35">
        <f t="shared" si="31"/>
        <v>-4.633124292478313E-4</v>
      </c>
      <c r="I358" s="36">
        <f t="shared" si="32"/>
        <v>1.1393790637460989E-2</v>
      </c>
    </row>
    <row r="359" spans="1:9" x14ac:dyDescent="0.3">
      <c r="A359" s="1">
        <v>353</v>
      </c>
      <c r="B359" s="27">
        <v>34800</v>
      </c>
      <c r="C359" s="4">
        <v>397.57565299999999</v>
      </c>
      <c r="D359" s="4">
        <v>350.064819</v>
      </c>
      <c r="E359">
        <v>42749.160155999998</v>
      </c>
      <c r="F359" s="34">
        <f t="shared" si="29"/>
        <v>2.4743229817386957E-3</v>
      </c>
      <c r="G359" s="35">
        <f t="shared" si="30"/>
        <v>-2.5022662924628573E-2</v>
      </c>
      <c r="H359" s="35">
        <f t="shared" si="31"/>
        <v>-8.2691469697766945E-3</v>
      </c>
      <c r="I359" s="36">
        <f t="shared" si="32"/>
        <v>-1.3860731630166705E-2</v>
      </c>
    </row>
    <row r="360" spans="1:9" x14ac:dyDescent="0.3">
      <c r="A360" s="1">
        <v>354</v>
      </c>
      <c r="B360" s="27">
        <v>33285.800780999998</v>
      </c>
      <c r="C360" s="4">
        <v>382.76214599999997</v>
      </c>
      <c r="D360" s="4">
        <v>353.67413299999998</v>
      </c>
      <c r="E360">
        <v>43108.421875</v>
      </c>
      <c r="F360" s="34">
        <f t="shared" si="29"/>
        <v>-4.4486483702602268E-2</v>
      </c>
      <c r="G360" s="35">
        <f t="shared" si="30"/>
        <v>-3.7971470456221179E-2</v>
      </c>
      <c r="H360" s="35">
        <f t="shared" si="31"/>
        <v>1.0257626459426326E-2</v>
      </c>
      <c r="I360" s="36">
        <f t="shared" si="32"/>
        <v>8.3688314371371322E-3</v>
      </c>
    </row>
    <row r="361" spans="1:9" x14ac:dyDescent="0.3">
      <c r="A361" s="1">
        <v>355</v>
      </c>
      <c r="B361" s="27">
        <v>33765</v>
      </c>
      <c r="C361" s="4">
        <v>390.51351899999997</v>
      </c>
      <c r="D361" s="4">
        <v>348.52484099999998</v>
      </c>
      <c r="E361">
        <v>43241.820312999997</v>
      </c>
      <c r="F361" s="34">
        <f t="shared" si="29"/>
        <v>1.4293859948978785E-2</v>
      </c>
      <c r="G361" s="35">
        <f t="shared" si="30"/>
        <v>2.004882085699437E-2</v>
      </c>
      <c r="H361" s="35">
        <f t="shared" si="31"/>
        <v>-1.4666453508127814E-2</v>
      </c>
      <c r="I361" s="36">
        <f t="shared" si="32"/>
        <v>3.0897086271357219E-3</v>
      </c>
    </row>
    <row r="362" spans="1:9" x14ac:dyDescent="0.3">
      <c r="A362" s="1">
        <v>356</v>
      </c>
      <c r="B362" s="27">
        <v>33972.199219000002</v>
      </c>
      <c r="C362" s="4">
        <v>389.00292999999999</v>
      </c>
      <c r="D362" s="4">
        <v>351.91281099999998</v>
      </c>
      <c r="E362">
        <v>43420.378905999998</v>
      </c>
      <c r="F362" s="34">
        <f t="shared" si="29"/>
        <v>6.1177570854669015E-3</v>
      </c>
      <c r="G362" s="35">
        <f t="shared" si="30"/>
        <v>-3.8757126750458633E-3</v>
      </c>
      <c r="H362" s="35">
        <f t="shared" si="31"/>
        <v>9.6739414629021785E-3</v>
      </c>
      <c r="I362" s="36">
        <f t="shared" si="32"/>
        <v>4.120801163238914E-3</v>
      </c>
    </row>
    <row r="363" spans="1:9" x14ac:dyDescent="0.3">
      <c r="A363" s="1">
        <v>357</v>
      </c>
      <c r="B363" s="27">
        <v>34428</v>
      </c>
      <c r="C363" s="4">
        <v>395.89511099999999</v>
      </c>
      <c r="D363" s="4">
        <v>351.06582600000002</v>
      </c>
      <c r="E363">
        <v>43147.828125</v>
      </c>
      <c r="F363" s="34">
        <f t="shared" si="29"/>
        <v>1.3327666674955718E-2</v>
      </c>
      <c r="G363" s="35">
        <f t="shared" si="30"/>
        <v>1.7562429234028475E-2</v>
      </c>
      <c r="H363" s="35">
        <f t="shared" si="31"/>
        <v>-2.4097045493779762E-3</v>
      </c>
      <c r="I363" s="36">
        <f t="shared" si="32"/>
        <v>-6.2968078211486827E-3</v>
      </c>
    </row>
    <row r="364" spans="1:9" x14ac:dyDescent="0.3">
      <c r="A364" s="1">
        <v>358</v>
      </c>
      <c r="B364" s="27">
        <v>35360</v>
      </c>
      <c r="C364" s="4">
        <v>400.98397799999998</v>
      </c>
      <c r="D364" s="4">
        <v>347.23513800000001</v>
      </c>
      <c r="E364">
        <v>43291.328125</v>
      </c>
      <c r="F364" s="34">
        <f t="shared" si="29"/>
        <v>2.671105098221473E-2</v>
      </c>
      <c r="G364" s="35">
        <f t="shared" si="30"/>
        <v>1.2772166438338546E-2</v>
      </c>
      <c r="H364" s="35">
        <f t="shared" si="31"/>
        <v>-1.0971562761790446E-2</v>
      </c>
      <c r="I364" s="36">
        <f t="shared" si="32"/>
        <v>3.32025757898269E-3</v>
      </c>
    </row>
    <row r="365" spans="1:9" x14ac:dyDescent="0.3">
      <c r="A365" s="1">
        <v>359</v>
      </c>
      <c r="B365" s="27">
        <v>35820</v>
      </c>
      <c r="C365" s="4">
        <v>389.70156900000001</v>
      </c>
      <c r="D365" s="4">
        <v>351.64331099999998</v>
      </c>
      <c r="E365">
        <v>43609.171875</v>
      </c>
      <c r="F365" s="34">
        <f t="shared" si="29"/>
        <v>1.2925158863122989E-2</v>
      </c>
      <c r="G365" s="35">
        <f t="shared" si="30"/>
        <v>-2.854023288558441E-2</v>
      </c>
      <c r="H365" s="35">
        <f t="shared" si="31"/>
        <v>1.2615159236050848E-2</v>
      </c>
      <c r="I365" s="36">
        <f t="shared" si="32"/>
        <v>7.3151516356113905E-3</v>
      </c>
    </row>
    <row r="366" spans="1:9" x14ac:dyDescent="0.3">
      <c r="A366" s="1">
        <v>360</v>
      </c>
      <c r="B366" s="27">
        <v>35650</v>
      </c>
      <c r="C366" s="4">
        <v>391.95803799999999</v>
      </c>
      <c r="D366" s="4">
        <v>347.98586999999998</v>
      </c>
      <c r="E366">
        <v>43713.660155999998</v>
      </c>
      <c r="F366" s="34">
        <f t="shared" si="29"/>
        <v>-4.7572497722607908E-3</v>
      </c>
      <c r="G366" s="35">
        <f t="shared" si="30"/>
        <v>5.7735496317334366E-3</v>
      </c>
      <c r="H366" s="35">
        <f t="shared" si="31"/>
        <v>-1.045546531666976E-2</v>
      </c>
      <c r="I366" s="36">
        <f t="shared" si="32"/>
        <v>2.393150300746136E-3</v>
      </c>
    </row>
    <row r="367" spans="1:9" x14ac:dyDescent="0.3">
      <c r="A367" s="1">
        <v>361</v>
      </c>
      <c r="B367" s="27">
        <v>35675</v>
      </c>
      <c r="C367" s="4">
        <v>397.585083</v>
      </c>
      <c r="D367" s="4">
        <v>350.51721199999997</v>
      </c>
      <c r="E367">
        <v>43800.160155999998</v>
      </c>
      <c r="F367" s="34">
        <f t="shared" si="29"/>
        <v>7.0101650259507368E-4</v>
      </c>
      <c r="G367" s="35">
        <f t="shared" si="30"/>
        <v>1.4254168330710202E-2</v>
      </c>
      <c r="H367" s="35">
        <f t="shared" si="31"/>
        <v>7.2479367570940142E-3</v>
      </c>
      <c r="I367" s="36">
        <f t="shared" si="32"/>
        <v>1.9768312675822052E-3</v>
      </c>
    </row>
    <row r="368" spans="1:9" x14ac:dyDescent="0.3">
      <c r="A368" s="1">
        <v>362</v>
      </c>
      <c r="B368" s="27">
        <v>35750</v>
      </c>
      <c r="C368" s="4">
        <v>387.00134300000002</v>
      </c>
      <c r="D368" s="4">
        <v>349.91018700000001</v>
      </c>
      <c r="E368">
        <v>43483.199219000002</v>
      </c>
      <c r="F368" s="34">
        <f t="shared" si="29"/>
        <v>2.100105777116593E-3</v>
      </c>
      <c r="G368" s="35">
        <f t="shared" si="30"/>
        <v>-2.6980793164984005E-2</v>
      </c>
      <c r="H368" s="35">
        <f t="shared" si="31"/>
        <v>-1.7332992765323771E-3</v>
      </c>
      <c r="I368" s="36">
        <f t="shared" si="32"/>
        <v>-7.2628352653594441E-3</v>
      </c>
    </row>
    <row r="369" spans="1:9" x14ac:dyDescent="0.3">
      <c r="A369" s="1">
        <v>363</v>
      </c>
      <c r="B369" s="27">
        <v>35820</v>
      </c>
      <c r="C369" s="4">
        <v>391.39154100000002</v>
      </c>
      <c r="D369" s="4">
        <v>352.15222199999999</v>
      </c>
      <c r="E369">
        <v>43130.648437999997</v>
      </c>
      <c r="F369" s="34">
        <f t="shared" si="29"/>
        <v>1.9561274925491562E-3</v>
      </c>
      <c r="G369" s="35">
        <f t="shared" si="30"/>
        <v>1.1280279258959964E-2</v>
      </c>
      <c r="H369" s="35">
        <f t="shared" si="31"/>
        <v>6.3870180002547896E-3</v>
      </c>
      <c r="I369" s="36">
        <f t="shared" si="32"/>
        <v>-8.1407935929537819E-3</v>
      </c>
    </row>
    <row r="370" spans="1:9" x14ac:dyDescent="0.3">
      <c r="A370" s="1">
        <v>364</v>
      </c>
      <c r="B370" s="27">
        <v>36160</v>
      </c>
      <c r="C370" s="4">
        <v>395.64013699999998</v>
      </c>
      <c r="D370" s="4">
        <v>355.911743</v>
      </c>
      <c r="E370">
        <v>42964.710937999997</v>
      </c>
      <c r="F370" s="34">
        <f t="shared" si="29"/>
        <v>9.4471388914100559E-3</v>
      </c>
      <c r="G370" s="35">
        <f t="shared" si="30"/>
        <v>1.0796610579012692E-2</v>
      </c>
      <c r="H370" s="35">
        <f t="shared" si="31"/>
        <v>1.061925621252144E-2</v>
      </c>
      <c r="I370" s="36">
        <f t="shared" si="32"/>
        <v>-3.8547421527768493E-3</v>
      </c>
    </row>
    <row r="371" spans="1:9" x14ac:dyDescent="0.3">
      <c r="A371" s="1">
        <v>365</v>
      </c>
      <c r="B371" s="27">
        <v>36442.800780999998</v>
      </c>
      <c r="C371" s="4">
        <v>386.77474999999998</v>
      </c>
      <c r="D371" s="4">
        <v>353.36621100000002</v>
      </c>
      <c r="E371">
        <v>43161.050780999998</v>
      </c>
      <c r="F371" s="34">
        <f t="shared" si="29"/>
        <v>7.7903939855480586E-3</v>
      </c>
      <c r="G371" s="35">
        <f t="shared" si="30"/>
        <v>-2.2662570911676349E-2</v>
      </c>
      <c r="H371" s="35">
        <f t="shared" si="31"/>
        <v>-7.1778430860735109E-3</v>
      </c>
      <c r="I371" s="36">
        <f t="shared" si="32"/>
        <v>4.5593833762806908E-3</v>
      </c>
    </row>
    <row r="372" spans="1:9" x14ac:dyDescent="0.3">
      <c r="A372" s="1">
        <v>366</v>
      </c>
      <c r="B372" s="27">
        <v>36495</v>
      </c>
      <c r="C372" s="4">
        <v>393.04376200000002</v>
      </c>
      <c r="D372" s="4">
        <v>357.86001599999997</v>
      </c>
      <c r="E372">
        <v>43375.671875</v>
      </c>
      <c r="F372" s="34">
        <f t="shared" si="29"/>
        <v>1.4313353940718948E-3</v>
      </c>
      <c r="G372" s="35">
        <f t="shared" si="30"/>
        <v>1.6078477125172321E-2</v>
      </c>
      <c r="H372" s="35">
        <f t="shared" si="31"/>
        <v>1.2636949064816059E-2</v>
      </c>
      <c r="I372" s="36">
        <f t="shared" si="32"/>
        <v>4.9602417900142777E-3</v>
      </c>
    </row>
    <row r="373" spans="1:9" x14ac:dyDescent="0.3">
      <c r="A373" s="1">
        <v>367</v>
      </c>
      <c r="B373" s="27">
        <v>36390</v>
      </c>
      <c r="C373" s="4">
        <v>377.35223400000001</v>
      </c>
      <c r="D373" s="4">
        <v>364.65460200000001</v>
      </c>
      <c r="E373">
        <v>43645.109375</v>
      </c>
      <c r="F373" s="34">
        <f t="shared" si="29"/>
        <v>-2.8812532795271183E-3</v>
      </c>
      <c r="G373" s="35">
        <f t="shared" si="30"/>
        <v>-4.0741900412908601E-2</v>
      </c>
      <c r="H373" s="35">
        <f t="shared" si="31"/>
        <v>1.8808716497525649E-2</v>
      </c>
      <c r="I373" s="36">
        <f t="shared" si="32"/>
        <v>6.1925061380071946E-3</v>
      </c>
    </row>
    <row r="374" spans="1:9" x14ac:dyDescent="0.3">
      <c r="A374" s="1">
        <v>368</v>
      </c>
      <c r="B374" s="27">
        <v>36509.398437999997</v>
      </c>
      <c r="C374" s="4">
        <v>377.65438799999998</v>
      </c>
      <c r="D374" s="4">
        <v>358.917419</v>
      </c>
      <c r="E374">
        <v>43526.730469000002</v>
      </c>
      <c r="F374" s="34">
        <f t="shared" si="29"/>
        <v>3.2757072711977774E-3</v>
      </c>
      <c r="G374" s="35">
        <f t="shared" si="30"/>
        <v>8.0040096954543942E-4</v>
      </c>
      <c r="H374" s="35">
        <f t="shared" si="31"/>
        <v>-1.5858278284957554E-2</v>
      </c>
      <c r="I374" s="36">
        <f t="shared" si="32"/>
        <v>-2.7159912875857704E-3</v>
      </c>
    </row>
    <row r="375" spans="1:9" x14ac:dyDescent="0.3">
      <c r="A375" s="1">
        <v>369</v>
      </c>
      <c r="B375" s="27">
        <v>36700</v>
      </c>
      <c r="C375" s="4">
        <v>373.44354199999998</v>
      </c>
      <c r="D375" s="4">
        <v>359.01531999999997</v>
      </c>
      <c r="E375">
        <v>43743.71875</v>
      </c>
      <c r="F375" s="34">
        <f t="shared" si="29"/>
        <v>5.2070361652583417E-3</v>
      </c>
      <c r="G375" s="35">
        <f t="shared" si="30"/>
        <v>-1.1212626072832878E-2</v>
      </c>
      <c r="H375" s="35">
        <f t="shared" si="31"/>
        <v>2.7273028596858643E-4</v>
      </c>
      <c r="I375" s="36">
        <f t="shared" si="32"/>
        <v>4.9727881566659048E-3</v>
      </c>
    </row>
    <row r="376" spans="1:9" x14ac:dyDescent="0.3">
      <c r="A376" s="1">
        <v>370</v>
      </c>
      <c r="B376" s="27">
        <v>36094</v>
      </c>
      <c r="C376" s="4">
        <v>378.96676600000001</v>
      </c>
      <c r="D376" s="4">
        <v>366.221069</v>
      </c>
      <c r="E376">
        <v>43792.171875</v>
      </c>
      <c r="F376" s="34">
        <f t="shared" si="29"/>
        <v>-1.6650108521418225E-2</v>
      </c>
      <c r="G376" s="35">
        <f t="shared" si="30"/>
        <v>1.4681678739927264E-2</v>
      </c>
      <c r="H376" s="35">
        <f t="shared" si="31"/>
        <v>1.987210304726534E-2</v>
      </c>
      <c r="I376" s="36">
        <f t="shared" si="32"/>
        <v>1.1070460265505107E-3</v>
      </c>
    </row>
    <row r="377" spans="1:9" x14ac:dyDescent="0.3">
      <c r="A377" s="1">
        <v>371</v>
      </c>
      <c r="B377" s="27">
        <v>36350</v>
      </c>
      <c r="C377" s="4">
        <v>389.503265</v>
      </c>
      <c r="D377" s="4">
        <v>365.38888500000002</v>
      </c>
      <c r="E377">
        <v>43792.078125</v>
      </c>
      <c r="F377" s="34">
        <f t="shared" si="29"/>
        <v>7.0675574404219484E-3</v>
      </c>
      <c r="G377" s="35">
        <f t="shared" si="30"/>
        <v>2.7423735234191789E-2</v>
      </c>
      <c r="H377" s="35">
        <f t="shared" si="31"/>
        <v>-2.2749399577023325E-3</v>
      </c>
      <c r="I377" s="36">
        <f t="shared" si="32"/>
        <v>-2.1407958622503049E-6</v>
      </c>
    </row>
    <row r="378" spans="1:9" x14ac:dyDescent="0.3">
      <c r="A378" s="1">
        <v>372</v>
      </c>
      <c r="B378" s="27">
        <v>36529.101562999997</v>
      </c>
      <c r="C378" s="4">
        <v>393.37423699999999</v>
      </c>
      <c r="D378" s="4">
        <v>367.01409899999999</v>
      </c>
      <c r="E378">
        <v>43316.558594000002</v>
      </c>
      <c r="F378" s="34">
        <f t="shared" si="29"/>
        <v>4.9150420275399813E-3</v>
      </c>
      <c r="G378" s="35">
        <f t="shared" si="30"/>
        <v>9.8891679402602611E-3</v>
      </c>
      <c r="H378" s="35">
        <f t="shared" si="31"/>
        <v>4.4380394483574028E-3</v>
      </c>
      <c r="I378" s="36">
        <f t="shared" si="32"/>
        <v>-1.0917958826308099E-2</v>
      </c>
    </row>
    <row r="379" spans="1:9" x14ac:dyDescent="0.3">
      <c r="A379" s="1">
        <v>373</v>
      </c>
      <c r="B379" s="27">
        <v>36235.199219000002</v>
      </c>
      <c r="C379" s="4">
        <v>386.21771200000001</v>
      </c>
      <c r="D379" s="4">
        <v>366.39727800000003</v>
      </c>
      <c r="E379">
        <v>43161.171875</v>
      </c>
      <c r="F379" s="34">
        <f t="shared" si="29"/>
        <v>-8.0782454893628172E-3</v>
      </c>
      <c r="G379" s="35">
        <f t="shared" si="30"/>
        <v>-1.8360184567336596E-2</v>
      </c>
      <c r="H379" s="35">
        <f t="shared" si="31"/>
        <v>-1.6820604773147539E-3</v>
      </c>
      <c r="I379" s="36">
        <f t="shared" si="32"/>
        <v>-3.5936855740018778E-3</v>
      </c>
    </row>
    <row r="380" spans="1:9" x14ac:dyDescent="0.3">
      <c r="A380" s="1">
        <v>374</v>
      </c>
      <c r="B380" s="27">
        <v>36780</v>
      </c>
      <c r="C380" s="4">
        <v>381.53476000000001</v>
      </c>
      <c r="D380" s="4">
        <v>374.89541600000001</v>
      </c>
      <c r="E380">
        <v>43438.238280999998</v>
      </c>
      <c r="F380" s="34">
        <f t="shared" si="29"/>
        <v>1.4923218658469552E-2</v>
      </c>
      <c r="G380" s="35">
        <f t="shared" si="30"/>
        <v>-1.2199270592841279E-2</v>
      </c>
      <c r="H380" s="35">
        <f t="shared" si="31"/>
        <v>2.2928892673431497E-2</v>
      </c>
      <c r="I380" s="36">
        <f t="shared" si="32"/>
        <v>6.3988276796299662E-3</v>
      </c>
    </row>
    <row r="381" spans="1:9" x14ac:dyDescent="0.3">
      <c r="A381" s="1">
        <v>375</v>
      </c>
      <c r="B381" s="27">
        <v>36800.898437999997</v>
      </c>
      <c r="C381" s="4">
        <v>378.82510400000001</v>
      </c>
      <c r="D381" s="4">
        <v>370.10788000000002</v>
      </c>
      <c r="E381">
        <v>43441.800780999998</v>
      </c>
      <c r="F381" s="34">
        <f t="shared" si="29"/>
        <v>5.6803977677830021E-4</v>
      </c>
      <c r="G381" s="35">
        <f t="shared" si="30"/>
        <v>-7.1273290421881505E-3</v>
      </c>
      <c r="H381" s="35">
        <f t="shared" si="31"/>
        <v>-1.2852565698235008E-2</v>
      </c>
      <c r="I381" s="36">
        <f t="shared" si="32"/>
        <v>8.200963168201161E-5</v>
      </c>
    </row>
    <row r="382" spans="1:9" x14ac:dyDescent="0.3">
      <c r="A382" s="1">
        <v>376</v>
      </c>
      <c r="B382" s="27">
        <v>36870</v>
      </c>
      <c r="C382" s="4">
        <v>386.65200800000002</v>
      </c>
      <c r="D382" s="4">
        <v>374.89541600000001</v>
      </c>
      <c r="E382">
        <v>43483.230469000002</v>
      </c>
      <c r="F382" s="34">
        <f t="shared" si="29"/>
        <v>1.8759532930997063E-3</v>
      </c>
      <c r="G382" s="35">
        <f t="shared" si="30"/>
        <v>2.0450452813573754E-2</v>
      </c>
      <c r="H382" s="35">
        <f t="shared" si="31"/>
        <v>1.2852565698234982E-2</v>
      </c>
      <c r="I382" s="36">
        <f t="shared" si="32"/>
        <v>9.5322809877220502E-4</v>
      </c>
    </row>
    <row r="383" spans="1:9" x14ac:dyDescent="0.3">
      <c r="A383" s="1">
        <v>377</v>
      </c>
      <c r="B383" s="27">
        <v>36870</v>
      </c>
      <c r="C383" s="4">
        <v>388.03042599999998</v>
      </c>
      <c r="D383" s="4">
        <v>373.22122200000001</v>
      </c>
      <c r="E383">
        <v>43461.480469000002</v>
      </c>
      <c r="F383" s="34">
        <f t="shared" si="29"/>
        <v>0</v>
      </c>
      <c r="G383" s="35">
        <f t="shared" si="30"/>
        <v>3.5586697056952665E-3</v>
      </c>
      <c r="H383" s="35">
        <f t="shared" si="31"/>
        <v>-4.4757640983027524E-3</v>
      </c>
      <c r="I383" s="36">
        <f t="shared" si="32"/>
        <v>-5.0031796572911453E-4</v>
      </c>
    </row>
    <row r="384" spans="1:9" x14ac:dyDescent="0.3">
      <c r="A384" s="1">
        <v>378</v>
      </c>
      <c r="B384" s="27">
        <v>36935.5</v>
      </c>
      <c r="C384" s="4">
        <v>390.54183999999998</v>
      </c>
      <c r="D384" s="4">
        <v>372.86877399999997</v>
      </c>
      <c r="E384">
        <v>43405.320312999997</v>
      </c>
      <c r="F384" s="34">
        <f t="shared" si="29"/>
        <v>1.7749359382679298E-3</v>
      </c>
      <c r="G384" s="35">
        <f t="shared" si="30"/>
        <v>6.4513541519052239E-3</v>
      </c>
      <c r="H384" s="35">
        <f t="shared" si="31"/>
        <v>-9.4478689730868946E-4</v>
      </c>
      <c r="I384" s="36">
        <f t="shared" si="32"/>
        <v>-1.2930178921964973E-3</v>
      </c>
    </row>
    <row r="385" spans="1:9" x14ac:dyDescent="0.3">
      <c r="A385" s="1">
        <v>379</v>
      </c>
      <c r="B385" s="27">
        <v>36950</v>
      </c>
      <c r="C385" s="4">
        <v>398.32153299999999</v>
      </c>
      <c r="D385" s="4">
        <v>369.69665500000002</v>
      </c>
      <c r="E385">
        <v>43589.078125</v>
      </c>
      <c r="F385" s="34">
        <f t="shared" si="29"/>
        <v>3.9249920988955976E-4</v>
      </c>
      <c r="G385" s="35">
        <f t="shared" si="30"/>
        <v>1.9724442764453301E-2</v>
      </c>
      <c r="H385" s="35">
        <f t="shared" si="31"/>
        <v>-8.5437273859012616E-3</v>
      </c>
      <c r="I385" s="36">
        <f t="shared" si="32"/>
        <v>4.2245958037839268E-3</v>
      </c>
    </row>
    <row r="386" spans="1:9" x14ac:dyDescent="0.3">
      <c r="A386" s="1">
        <v>380</v>
      </c>
      <c r="B386" s="27">
        <v>37981.300780999998</v>
      </c>
      <c r="C386" s="4">
        <v>398.13269000000003</v>
      </c>
      <c r="D386" s="4">
        <v>366.04486100000003</v>
      </c>
      <c r="E386">
        <v>42818.660155999998</v>
      </c>
      <c r="F386" s="34">
        <f t="shared" si="29"/>
        <v>2.7528306508233805E-2</v>
      </c>
      <c r="G386" s="35">
        <f t="shared" si="30"/>
        <v>-4.7420930942511353E-4</v>
      </c>
      <c r="H386" s="35">
        <f t="shared" si="31"/>
        <v>-9.9269210965955094E-3</v>
      </c>
      <c r="I386" s="36">
        <f t="shared" si="32"/>
        <v>-1.7832624726810801E-2</v>
      </c>
    </row>
    <row r="387" spans="1:9" x14ac:dyDescent="0.3">
      <c r="A387" s="1">
        <v>381</v>
      </c>
      <c r="B387" s="27">
        <v>38740</v>
      </c>
      <c r="C387" s="4">
        <v>391.95803799999999</v>
      </c>
      <c r="D387" s="4">
        <v>363.59722900000003</v>
      </c>
      <c r="E387">
        <v>42805.609375</v>
      </c>
      <c r="F387" s="34">
        <f t="shared" si="29"/>
        <v>1.9778704076405355E-2</v>
      </c>
      <c r="G387" s="35">
        <f t="shared" si="30"/>
        <v>-1.563055353921447E-2</v>
      </c>
      <c r="H387" s="35">
        <f t="shared" si="31"/>
        <v>-6.7091556662192244E-3</v>
      </c>
      <c r="I387" s="36">
        <f t="shared" si="32"/>
        <v>-3.0483836352811569E-4</v>
      </c>
    </row>
    <row r="388" spans="1:9" x14ac:dyDescent="0.3">
      <c r="A388" s="1">
        <v>382</v>
      </c>
      <c r="B388" s="27">
        <v>38134.101562999997</v>
      </c>
      <c r="C388" s="4">
        <v>398.80300899999997</v>
      </c>
      <c r="D388" s="4">
        <v>368.71762100000001</v>
      </c>
      <c r="E388">
        <v>42882.019530999998</v>
      </c>
      <c r="F388" s="34">
        <f t="shared" si="29"/>
        <v>-1.5763722021320564E-2</v>
      </c>
      <c r="G388" s="35">
        <f t="shared" si="30"/>
        <v>1.7312795052352992E-2</v>
      </c>
      <c r="H388" s="35">
        <f t="shared" si="31"/>
        <v>1.3984355078919422E-2</v>
      </c>
      <c r="I388" s="36">
        <f t="shared" si="32"/>
        <v>1.783458761290398E-3</v>
      </c>
    </row>
    <row r="389" spans="1:9" x14ac:dyDescent="0.3">
      <c r="A389" s="1">
        <v>383</v>
      </c>
      <c r="B389" s="27">
        <v>38155.601562999997</v>
      </c>
      <c r="C389" s="4">
        <v>393.27981599999998</v>
      </c>
      <c r="D389" s="4">
        <v>369.94143700000001</v>
      </c>
      <c r="E389">
        <v>42647.308594000002</v>
      </c>
      <c r="F389" s="34">
        <f t="shared" si="29"/>
        <v>5.6364095515454521E-4</v>
      </c>
      <c r="G389" s="35">
        <f t="shared" si="30"/>
        <v>-1.3946224677113393E-2</v>
      </c>
      <c r="H389" s="35">
        <f t="shared" si="31"/>
        <v>3.3136183914453162E-3</v>
      </c>
      <c r="I389" s="36">
        <f t="shared" si="32"/>
        <v>-5.4884454567550875E-3</v>
      </c>
    </row>
    <row r="390" spans="1:9" x14ac:dyDescent="0.3">
      <c r="A390" s="1">
        <v>384</v>
      </c>
      <c r="B390" s="27">
        <v>38250</v>
      </c>
      <c r="C390" s="4">
        <v>392.779449</v>
      </c>
      <c r="D390" s="4">
        <v>381.65081800000002</v>
      </c>
      <c r="E390">
        <v>43063.949219000002</v>
      </c>
      <c r="F390" s="34">
        <f t="shared" si="29"/>
        <v>2.470983359860953E-3</v>
      </c>
      <c r="G390" s="35">
        <f t="shared" si="30"/>
        <v>-1.2731026523362229E-3</v>
      </c>
      <c r="H390" s="35">
        <f t="shared" si="31"/>
        <v>3.1161386834671203E-2</v>
      </c>
      <c r="I390" s="36">
        <f t="shared" si="32"/>
        <v>9.7220345913534897E-3</v>
      </c>
    </row>
    <row r="391" spans="1:9" x14ac:dyDescent="0.3">
      <c r="A391" s="1">
        <v>385</v>
      </c>
      <c r="B391" s="27">
        <v>38387.101562999997</v>
      </c>
      <c r="C391" s="4">
        <v>393.006012</v>
      </c>
      <c r="D391" s="4">
        <v>384.85226399999999</v>
      </c>
      <c r="E391">
        <v>42984.96875</v>
      </c>
      <c r="F391" s="34">
        <f t="shared" si="29"/>
        <v>3.5779460982963223E-3</v>
      </c>
      <c r="G391" s="35">
        <f t="shared" si="30"/>
        <v>5.7665359700065377E-4</v>
      </c>
      <c r="H391" s="35">
        <f t="shared" si="31"/>
        <v>8.3534292072892317E-3</v>
      </c>
      <c r="I391" s="36">
        <f t="shared" si="32"/>
        <v>-1.8357114312053475E-3</v>
      </c>
    </row>
    <row r="392" spans="1:9" x14ac:dyDescent="0.3">
      <c r="A392" s="1">
        <v>386</v>
      </c>
      <c r="B392" s="27">
        <v>38059.800780999998</v>
      </c>
      <c r="C392" s="4">
        <v>403.202698</v>
      </c>
      <c r="D392" s="4">
        <v>382.53195199999999</v>
      </c>
      <c r="E392">
        <v>42551.539062999997</v>
      </c>
      <c r="F392" s="34">
        <f t="shared" ref="F392:F455" si="33">LN(B392/B391)</f>
        <v>-8.5628788570518803E-3</v>
      </c>
      <c r="G392" s="35">
        <f t="shared" ref="G392:G455" si="34">LN(C392/C391)</f>
        <v>2.5614498740848972E-2</v>
      </c>
      <c r="H392" s="35">
        <f t="shared" ref="H392:H455" si="35">LN(D392/D391)</f>
        <v>-6.0473463562181551E-3</v>
      </c>
      <c r="I392" s="36">
        <f t="shared" ref="I392:I455" si="36">LN(E392/E391)</f>
        <v>-1.0134465569811908E-2</v>
      </c>
    </row>
    <row r="393" spans="1:9" x14ac:dyDescent="0.3">
      <c r="A393" s="1">
        <v>387</v>
      </c>
      <c r="B393" s="27">
        <v>37500</v>
      </c>
      <c r="C393" s="4">
        <v>413.89978000000002</v>
      </c>
      <c r="D393" s="4">
        <v>388.49432400000001</v>
      </c>
      <c r="E393">
        <v>41618.109375</v>
      </c>
      <c r="F393" s="34">
        <f t="shared" si="33"/>
        <v>-1.4817694537424075E-2</v>
      </c>
      <c r="G393" s="35">
        <f t="shared" si="34"/>
        <v>2.6184459022165554E-2</v>
      </c>
      <c r="H393" s="35">
        <f t="shared" si="35"/>
        <v>1.5466375244074893E-2</v>
      </c>
      <c r="I393" s="36">
        <f t="shared" si="36"/>
        <v>-2.2180631001821511E-2</v>
      </c>
    </row>
    <row r="394" spans="1:9" x14ac:dyDescent="0.3">
      <c r="A394" s="1">
        <v>388</v>
      </c>
      <c r="B394" s="27">
        <v>37450</v>
      </c>
      <c r="C394" s="4">
        <v>418.120026</v>
      </c>
      <c r="D394" s="4">
        <v>387.10409499999997</v>
      </c>
      <c r="E394">
        <v>41606.539062999997</v>
      </c>
      <c r="F394" s="34">
        <f t="shared" si="33"/>
        <v>-1.3342230131366103E-3</v>
      </c>
      <c r="G394" s="35">
        <f t="shared" si="34"/>
        <v>1.0144667622419185E-2</v>
      </c>
      <c r="H394" s="35">
        <f t="shared" si="35"/>
        <v>-3.5849234728712554E-3</v>
      </c>
      <c r="I394" s="36">
        <f t="shared" si="36"/>
        <v>-2.7805012797777249E-4</v>
      </c>
    </row>
    <row r="395" spans="1:9" x14ac:dyDescent="0.3">
      <c r="A395" s="1">
        <v>389</v>
      </c>
      <c r="B395" s="27">
        <v>37819.5</v>
      </c>
      <c r="C395" s="4">
        <v>405.62914999999998</v>
      </c>
      <c r="D395" s="4">
        <v>388.21038800000002</v>
      </c>
      <c r="E395">
        <v>41209.320312999997</v>
      </c>
      <c r="F395" s="34">
        <f t="shared" si="33"/>
        <v>9.8181326614468212E-3</v>
      </c>
      <c r="G395" s="35">
        <f t="shared" si="34"/>
        <v>-3.0329216316785566E-2</v>
      </c>
      <c r="H395" s="35">
        <f t="shared" si="35"/>
        <v>2.8537935897603121E-3</v>
      </c>
      <c r="I395" s="36">
        <f t="shared" si="36"/>
        <v>-9.5928919680957937E-3</v>
      </c>
    </row>
    <row r="396" spans="1:9" x14ac:dyDescent="0.3">
      <c r="A396" s="1">
        <v>390</v>
      </c>
      <c r="B396" s="27">
        <v>38240</v>
      </c>
      <c r="C396" s="4">
        <v>406.82815599999998</v>
      </c>
      <c r="D396" s="4">
        <v>391.61746199999999</v>
      </c>
      <c r="E396">
        <v>40935.339844000002</v>
      </c>
      <c r="F396" s="34">
        <f t="shared" si="33"/>
        <v>1.105724555852533E-2</v>
      </c>
      <c r="G396" s="35">
        <f t="shared" si="34"/>
        <v>2.9515566211103066E-3</v>
      </c>
      <c r="H396" s="35">
        <f t="shared" si="35"/>
        <v>8.7380713027501739E-3</v>
      </c>
      <c r="I396" s="36">
        <f t="shared" si="36"/>
        <v>-6.6707071268771066E-3</v>
      </c>
    </row>
    <row r="397" spans="1:9" x14ac:dyDescent="0.3">
      <c r="A397" s="1">
        <v>391</v>
      </c>
      <c r="B397" s="27">
        <v>38130</v>
      </c>
      <c r="C397" s="4">
        <v>411.61496</v>
      </c>
      <c r="D397" s="4">
        <v>385.87048299999998</v>
      </c>
      <c r="E397">
        <v>41167.738280999998</v>
      </c>
      <c r="F397" s="34">
        <f t="shared" si="33"/>
        <v>-2.8807143137281328E-3</v>
      </c>
      <c r="G397" s="35">
        <f t="shared" si="34"/>
        <v>1.1697474114419588E-2</v>
      </c>
      <c r="H397" s="35">
        <f t="shared" si="35"/>
        <v>-1.4783724191492134E-2</v>
      </c>
      <c r="I397" s="36">
        <f t="shared" si="36"/>
        <v>5.6611533447583906E-3</v>
      </c>
    </row>
    <row r="398" spans="1:9" x14ac:dyDescent="0.3">
      <c r="A398" s="1">
        <v>392</v>
      </c>
      <c r="B398" s="27">
        <v>37801.800780999998</v>
      </c>
      <c r="C398" s="4">
        <v>409.17910799999999</v>
      </c>
      <c r="D398" s="4">
        <v>382.551514</v>
      </c>
      <c r="E398">
        <v>40933.429687999997</v>
      </c>
      <c r="F398" s="34">
        <f t="shared" si="33"/>
        <v>-8.6446326696706273E-3</v>
      </c>
      <c r="G398" s="35">
        <f t="shared" si="34"/>
        <v>-5.935372210745327E-3</v>
      </c>
      <c r="H398" s="35">
        <f t="shared" si="35"/>
        <v>-8.6384555678876186E-3</v>
      </c>
      <c r="I398" s="36">
        <f t="shared" si="36"/>
        <v>-5.7078171949975108E-3</v>
      </c>
    </row>
    <row r="399" spans="1:9" x14ac:dyDescent="0.3">
      <c r="A399" s="1">
        <v>393</v>
      </c>
      <c r="B399" s="27">
        <v>36974.699219000002</v>
      </c>
      <c r="C399" s="4">
        <v>403.655914</v>
      </c>
      <c r="D399" s="4">
        <v>381.69973800000002</v>
      </c>
      <c r="E399">
        <v>40673.78125</v>
      </c>
      <c r="F399" s="34">
        <f t="shared" si="33"/>
        <v>-2.2122867348668862E-2</v>
      </c>
      <c r="G399" s="35">
        <f t="shared" si="34"/>
        <v>-1.3590160015088337E-2</v>
      </c>
      <c r="H399" s="35">
        <f t="shared" si="35"/>
        <v>-2.229047974609542E-3</v>
      </c>
      <c r="I399" s="36">
        <f t="shared" si="36"/>
        <v>-6.3633914496427054E-3</v>
      </c>
    </row>
    <row r="400" spans="1:9" x14ac:dyDescent="0.3">
      <c r="A400" s="1">
        <v>394</v>
      </c>
      <c r="B400" s="27">
        <v>36506.898437999997</v>
      </c>
      <c r="C400" s="4">
        <v>415.19326799999999</v>
      </c>
      <c r="D400" s="4">
        <v>378.70388800000001</v>
      </c>
      <c r="E400">
        <v>41276.671875</v>
      </c>
      <c r="F400" s="34">
        <f t="shared" si="33"/>
        <v>-1.2732632819246258E-2</v>
      </c>
      <c r="G400" s="35">
        <f t="shared" si="34"/>
        <v>2.8181300806879875E-2</v>
      </c>
      <c r="H400" s="35">
        <f t="shared" si="35"/>
        <v>-7.8796717910925729E-3</v>
      </c>
      <c r="I400" s="36">
        <f t="shared" si="36"/>
        <v>1.4713805206057093E-2</v>
      </c>
    </row>
    <row r="401" spans="1:9" x14ac:dyDescent="0.3">
      <c r="A401" s="1">
        <v>395</v>
      </c>
      <c r="B401" s="27">
        <v>36190</v>
      </c>
      <c r="C401" s="4">
        <v>412.04925500000002</v>
      </c>
      <c r="D401" s="4">
        <v>375.58071899999999</v>
      </c>
      <c r="E401">
        <v>41159.269530999998</v>
      </c>
      <c r="F401" s="34">
        <f t="shared" si="33"/>
        <v>-8.718403456235594E-3</v>
      </c>
      <c r="G401" s="35">
        <f t="shared" si="34"/>
        <v>-7.6012246726478491E-3</v>
      </c>
      <c r="H401" s="35">
        <f t="shared" si="35"/>
        <v>-8.281189406256613E-3</v>
      </c>
      <c r="I401" s="36">
        <f t="shared" si="36"/>
        <v>-2.8483309918289753E-3</v>
      </c>
    </row>
    <row r="402" spans="1:9" x14ac:dyDescent="0.3">
      <c r="A402" s="1">
        <v>396</v>
      </c>
      <c r="B402" s="27">
        <v>35800.699219000002</v>
      </c>
      <c r="C402" s="4">
        <v>419.91390999999999</v>
      </c>
      <c r="D402" s="4">
        <v>374.39608800000002</v>
      </c>
      <c r="E402">
        <v>40863.089844000002</v>
      </c>
      <c r="F402" s="34">
        <f t="shared" si="33"/>
        <v>-1.0815413102745692E-2</v>
      </c>
      <c r="G402" s="35">
        <f t="shared" si="34"/>
        <v>1.8906820901694939E-2</v>
      </c>
      <c r="H402" s="35">
        <f t="shared" si="35"/>
        <v>-3.1591163197650274E-3</v>
      </c>
      <c r="I402" s="36">
        <f t="shared" si="36"/>
        <v>-7.2219569533900786E-3</v>
      </c>
    </row>
    <row r="403" spans="1:9" x14ac:dyDescent="0.3">
      <c r="A403" s="1">
        <v>397</v>
      </c>
      <c r="B403" s="27">
        <v>35728</v>
      </c>
      <c r="C403" s="4">
        <v>413.22000100000002</v>
      </c>
      <c r="D403" s="4">
        <v>372.281342</v>
      </c>
      <c r="E403">
        <v>40346.800780999998</v>
      </c>
      <c r="F403" s="34">
        <f t="shared" si="33"/>
        <v>-2.0327293751033764E-3</v>
      </c>
      <c r="G403" s="35">
        <f t="shared" si="34"/>
        <v>-1.6069572871766972E-2</v>
      </c>
      <c r="H403" s="35">
        <f t="shared" si="35"/>
        <v>-5.66443170630651E-3</v>
      </c>
      <c r="I403" s="36">
        <f t="shared" si="36"/>
        <v>-1.2715101938358257E-2</v>
      </c>
    </row>
    <row r="404" spans="1:9" x14ac:dyDescent="0.3">
      <c r="A404" s="1">
        <v>398</v>
      </c>
      <c r="B404" s="27">
        <v>35166.398437999997</v>
      </c>
      <c r="C404" s="4">
        <v>421.52838100000002</v>
      </c>
      <c r="D404" s="4">
        <v>366.730164</v>
      </c>
      <c r="E404">
        <v>39977.519530999998</v>
      </c>
      <c r="F404" s="34">
        <f t="shared" si="33"/>
        <v>-1.5843658234329278E-2</v>
      </c>
      <c r="G404" s="35">
        <f t="shared" si="34"/>
        <v>1.9906967303776172E-2</v>
      </c>
      <c r="H404" s="35">
        <f t="shared" si="35"/>
        <v>-1.5023534453767433E-2</v>
      </c>
      <c r="I404" s="36">
        <f t="shared" si="36"/>
        <v>-9.194820455216959E-3</v>
      </c>
    </row>
    <row r="405" spans="1:9" x14ac:dyDescent="0.3">
      <c r="A405" s="1">
        <v>399</v>
      </c>
      <c r="B405" s="27">
        <v>34605.199219000002</v>
      </c>
      <c r="C405" s="4">
        <v>423.98312399999998</v>
      </c>
      <c r="D405" s="4">
        <v>363.11752300000001</v>
      </c>
      <c r="E405">
        <v>39496.359375</v>
      </c>
      <c r="F405" s="34">
        <f t="shared" si="33"/>
        <v>-1.6087099643578746E-2</v>
      </c>
      <c r="G405" s="35">
        <f t="shared" si="34"/>
        <v>5.806544044592789E-3</v>
      </c>
      <c r="H405" s="35">
        <f t="shared" si="35"/>
        <v>-9.8997929823216955E-3</v>
      </c>
      <c r="I405" s="36">
        <f t="shared" si="36"/>
        <v>-1.210878446329822E-2</v>
      </c>
    </row>
    <row r="406" spans="1:9" x14ac:dyDescent="0.3">
      <c r="A406" s="1">
        <v>400</v>
      </c>
      <c r="B406" s="27">
        <v>35023.699219000002</v>
      </c>
      <c r="C406" s="4">
        <v>423.00125100000002</v>
      </c>
      <c r="D406" s="4">
        <v>370.27432299999998</v>
      </c>
      <c r="E406">
        <v>39785.628905999998</v>
      </c>
      <c r="F406" s="34">
        <f t="shared" si="33"/>
        <v>1.2021015669694378E-2</v>
      </c>
      <c r="G406" s="35">
        <f t="shared" si="34"/>
        <v>-2.3185160643357881E-3</v>
      </c>
      <c r="H406" s="35">
        <f t="shared" si="35"/>
        <v>1.9517607752054935E-2</v>
      </c>
      <c r="I406" s="36">
        <f t="shared" si="36"/>
        <v>7.297264382642883E-3</v>
      </c>
    </row>
    <row r="407" spans="1:9" x14ac:dyDescent="0.3">
      <c r="A407" s="1">
        <v>401</v>
      </c>
      <c r="B407" s="27">
        <v>35207.699219000002</v>
      </c>
      <c r="C407" s="4">
        <v>418.705444</v>
      </c>
      <c r="D407" s="4">
        <v>367.38613900000001</v>
      </c>
      <c r="E407">
        <v>40432.359375</v>
      </c>
      <c r="F407" s="34">
        <f t="shared" si="33"/>
        <v>5.2398336095226417E-3</v>
      </c>
      <c r="G407" s="35">
        <f t="shared" si="34"/>
        <v>-1.0207461398632493E-2</v>
      </c>
      <c r="H407" s="35">
        <f t="shared" si="35"/>
        <v>-7.8306996439526828E-3</v>
      </c>
      <c r="I407" s="36">
        <f t="shared" si="36"/>
        <v>1.6124674666332897E-2</v>
      </c>
    </row>
    <row r="408" spans="1:9" x14ac:dyDescent="0.3">
      <c r="A408" s="1">
        <v>402</v>
      </c>
      <c r="B408" s="27">
        <v>35603.5</v>
      </c>
      <c r="C408" s="4">
        <v>420.216003</v>
      </c>
      <c r="D408" s="4">
        <v>369.41275000000002</v>
      </c>
      <c r="E408">
        <v>40439.421875</v>
      </c>
      <c r="F408" s="34">
        <f t="shared" si="33"/>
        <v>1.1179161133051134E-2</v>
      </c>
      <c r="G408" s="35">
        <f t="shared" si="34"/>
        <v>3.6011968412301516E-3</v>
      </c>
      <c r="H408" s="35">
        <f t="shared" si="35"/>
        <v>5.5011378033170341E-3</v>
      </c>
      <c r="I408" s="36">
        <f t="shared" si="36"/>
        <v>1.7465919283066804E-4</v>
      </c>
    </row>
    <row r="409" spans="1:9" x14ac:dyDescent="0.3">
      <c r="A409" s="1">
        <v>403</v>
      </c>
      <c r="B409" s="27">
        <v>35129.5</v>
      </c>
      <c r="C409" s="4">
        <v>415.62753300000003</v>
      </c>
      <c r="D409" s="4">
        <v>365.82946800000002</v>
      </c>
      <c r="E409">
        <v>40421.28125</v>
      </c>
      <c r="F409" s="34">
        <f t="shared" si="33"/>
        <v>-1.3402714305130918E-2</v>
      </c>
      <c r="G409" s="35">
        <f t="shared" si="34"/>
        <v>-1.0979366103673012E-2</v>
      </c>
      <c r="H409" s="35">
        <f t="shared" si="35"/>
        <v>-9.7472922059606889E-3</v>
      </c>
      <c r="I409" s="36">
        <f t="shared" si="36"/>
        <v>-4.486882899421857E-4</v>
      </c>
    </row>
    <row r="410" spans="1:9" x14ac:dyDescent="0.3">
      <c r="A410" s="1">
        <v>404</v>
      </c>
      <c r="B410" s="27">
        <v>34979.5</v>
      </c>
      <c r="C410" s="4">
        <v>421.44339000000002</v>
      </c>
      <c r="D410" s="4">
        <v>356.978882</v>
      </c>
      <c r="E410">
        <v>39851.210937999997</v>
      </c>
      <c r="F410" s="34">
        <f t="shared" si="33"/>
        <v>-4.2790577209521948E-3</v>
      </c>
      <c r="G410" s="35">
        <f t="shared" si="34"/>
        <v>1.3895956544585039E-2</v>
      </c>
      <c r="H410" s="35">
        <f t="shared" si="35"/>
        <v>-2.4490664425618962E-2</v>
      </c>
      <c r="I410" s="36">
        <f t="shared" si="36"/>
        <v>-1.4203617712419602E-2</v>
      </c>
    </row>
    <row r="411" spans="1:9" x14ac:dyDescent="0.3">
      <c r="A411" s="1">
        <v>405</v>
      </c>
      <c r="B411" s="27">
        <v>35481.898437999997</v>
      </c>
      <c r="C411" s="4">
        <v>422.481964</v>
      </c>
      <c r="D411" s="4">
        <v>357.654449</v>
      </c>
      <c r="E411">
        <v>39476.5</v>
      </c>
      <c r="F411" s="34">
        <f t="shared" si="33"/>
        <v>1.4260487675538985E-2</v>
      </c>
      <c r="G411" s="35">
        <f t="shared" si="34"/>
        <v>2.4612947564181531E-3</v>
      </c>
      <c r="H411" s="35">
        <f t="shared" si="35"/>
        <v>1.8906680445375684E-3</v>
      </c>
      <c r="I411" s="36">
        <f t="shared" si="36"/>
        <v>-9.4472340241487304E-3</v>
      </c>
    </row>
    <row r="412" spans="1:9" x14ac:dyDescent="0.3">
      <c r="A412" s="1">
        <v>406</v>
      </c>
      <c r="B412" s="27">
        <v>34740</v>
      </c>
      <c r="C412" s="4">
        <v>415.56146200000001</v>
      </c>
      <c r="D412" s="4">
        <v>349.68502799999999</v>
      </c>
      <c r="E412">
        <v>38650.089844000002</v>
      </c>
      <c r="F412" s="34">
        <f t="shared" si="33"/>
        <v>-2.1130902468659118E-2</v>
      </c>
      <c r="G412" s="35">
        <f t="shared" si="34"/>
        <v>-1.6516230788307901E-2</v>
      </c>
      <c r="H412" s="35">
        <f t="shared" si="35"/>
        <v>-2.2534464700524653E-2</v>
      </c>
      <c r="I412" s="36">
        <f t="shared" si="36"/>
        <v>-2.1156458568731582E-2</v>
      </c>
    </row>
    <row r="413" spans="1:9" x14ac:dyDescent="0.3">
      <c r="A413" s="1">
        <v>407</v>
      </c>
      <c r="B413" s="27">
        <v>34823.101562999997</v>
      </c>
      <c r="C413" s="4">
        <v>418.375</v>
      </c>
      <c r="D413" s="4">
        <v>357.33136000000002</v>
      </c>
      <c r="E413">
        <v>38574.179687999997</v>
      </c>
      <c r="F413" s="34">
        <f t="shared" si="33"/>
        <v>2.3892437417195093E-3</v>
      </c>
      <c r="G413" s="35">
        <f t="shared" si="34"/>
        <v>6.747633191157492E-3</v>
      </c>
      <c r="H413" s="35">
        <f t="shared" si="35"/>
        <v>2.1630701246972615E-2</v>
      </c>
      <c r="I413" s="36">
        <f t="shared" si="36"/>
        <v>-1.9659669404346334E-3</v>
      </c>
    </row>
    <row r="414" spans="1:9" x14ac:dyDescent="0.3">
      <c r="A414" s="1">
        <v>408</v>
      </c>
      <c r="B414" s="27">
        <v>35273.199219000002</v>
      </c>
      <c r="C414" s="4">
        <v>418.90365600000001</v>
      </c>
      <c r="D414" s="4">
        <v>355.29495200000002</v>
      </c>
      <c r="E414">
        <v>39339.550780999998</v>
      </c>
      <c r="F414" s="34">
        <f t="shared" si="33"/>
        <v>1.2842442100817334E-2</v>
      </c>
      <c r="G414" s="35">
        <f t="shared" si="34"/>
        <v>1.2627960033700673E-3</v>
      </c>
      <c r="H414" s="35">
        <f t="shared" si="35"/>
        <v>-5.7152353450714349E-3</v>
      </c>
      <c r="I414" s="36">
        <f t="shared" si="36"/>
        <v>1.9647261365106191E-2</v>
      </c>
    </row>
    <row r="415" spans="1:9" x14ac:dyDescent="0.3">
      <c r="A415" s="1">
        <v>409</v>
      </c>
      <c r="B415" s="27">
        <v>35979</v>
      </c>
      <c r="C415" s="4">
        <v>422.680206</v>
      </c>
      <c r="D415" s="4">
        <v>352.38717700000001</v>
      </c>
      <c r="E415">
        <v>39556.320312999997</v>
      </c>
      <c r="F415" s="34">
        <f t="shared" si="33"/>
        <v>1.9811988262197964E-2</v>
      </c>
      <c r="G415" s="35">
        <f t="shared" si="34"/>
        <v>8.9749234041796716E-3</v>
      </c>
      <c r="H415" s="35">
        <f t="shared" si="35"/>
        <v>-8.2177894419752616E-3</v>
      </c>
      <c r="I415" s="36">
        <f t="shared" si="36"/>
        <v>5.4950930754467872E-3</v>
      </c>
    </row>
    <row r="416" spans="1:9" x14ac:dyDescent="0.3">
      <c r="A416" s="1">
        <v>410</v>
      </c>
      <c r="B416" s="27">
        <v>35632</v>
      </c>
      <c r="C416" s="4">
        <v>416.45840500000003</v>
      </c>
      <c r="D416" s="4">
        <v>349.81228599999997</v>
      </c>
      <c r="E416">
        <v>39700.050780999998</v>
      </c>
      <c r="F416" s="34">
        <f t="shared" si="33"/>
        <v>-9.6913244026818595E-3</v>
      </c>
      <c r="G416" s="35">
        <f t="shared" si="34"/>
        <v>-1.4829290266457348E-2</v>
      </c>
      <c r="H416" s="35">
        <f t="shared" si="35"/>
        <v>-7.3338208771897961E-3</v>
      </c>
      <c r="I416" s="36">
        <f t="shared" si="36"/>
        <v>3.6269797261801609E-3</v>
      </c>
    </row>
    <row r="417" spans="1:9" x14ac:dyDescent="0.3">
      <c r="A417" s="1">
        <v>411</v>
      </c>
      <c r="B417" s="27">
        <v>35888</v>
      </c>
      <c r="C417" s="4">
        <v>426.730591</v>
      </c>
      <c r="D417" s="4">
        <v>349.94937099999999</v>
      </c>
      <c r="E417">
        <v>40076.039062999997</v>
      </c>
      <c r="F417" s="34">
        <f t="shared" si="33"/>
        <v>7.1588672628406661E-3</v>
      </c>
      <c r="G417" s="35">
        <f t="shared" si="34"/>
        <v>2.4366291006926798E-2</v>
      </c>
      <c r="H417" s="35">
        <f t="shared" si="35"/>
        <v>3.9180483921161724E-4</v>
      </c>
      <c r="I417" s="36">
        <f t="shared" si="36"/>
        <v>9.426159308853212E-3</v>
      </c>
    </row>
    <row r="418" spans="1:9" x14ac:dyDescent="0.3">
      <c r="A418" s="1">
        <v>412</v>
      </c>
      <c r="B418" s="27">
        <v>35910.398437999997</v>
      </c>
      <c r="C418" s="4">
        <v>430.43158</v>
      </c>
      <c r="D418" s="4">
        <v>353.03335600000003</v>
      </c>
      <c r="E418">
        <v>40144.238280999998</v>
      </c>
      <c r="F418" s="34">
        <f t="shared" si="33"/>
        <v>6.2392585945899865E-4</v>
      </c>
      <c r="G418" s="35">
        <f t="shared" si="34"/>
        <v>8.6355000823013697E-3</v>
      </c>
      <c r="H418" s="35">
        <f t="shared" si="35"/>
        <v>8.7740556526645919E-3</v>
      </c>
      <c r="I418" s="36">
        <f t="shared" si="36"/>
        <v>1.7002991435188736E-3</v>
      </c>
    </row>
    <row r="419" spans="1:9" x14ac:dyDescent="0.3">
      <c r="A419" s="1">
        <v>413</v>
      </c>
      <c r="B419" s="27">
        <v>34800</v>
      </c>
      <c r="C419" s="4">
        <v>426.15463299999999</v>
      </c>
      <c r="D419" s="4">
        <v>353.630585</v>
      </c>
      <c r="E419">
        <v>39862.070312999997</v>
      </c>
      <c r="F419" s="34">
        <f t="shared" si="33"/>
        <v>-3.1409516856882938E-2</v>
      </c>
      <c r="G419" s="35">
        <f t="shared" si="34"/>
        <v>-9.9861110938313669E-3</v>
      </c>
      <c r="H419" s="35">
        <f t="shared" si="35"/>
        <v>1.6902776766761253E-3</v>
      </c>
      <c r="I419" s="36">
        <f t="shared" si="36"/>
        <v>-7.0536722136052476E-3</v>
      </c>
    </row>
    <row r="420" spans="1:9" x14ac:dyDescent="0.3">
      <c r="A420" s="1">
        <v>414</v>
      </c>
      <c r="B420" s="27">
        <v>35070</v>
      </c>
      <c r="C420" s="4">
        <v>429.72345000000001</v>
      </c>
      <c r="D420" s="4">
        <v>350.703217</v>
      </c>
      <c r="E420">
        <v>40081.71875</v>
      </c>
      <c r="F420" s="34">
        <f t="shared" si="33"/>
        <v>7.7286773716580704E-3</v>
      </c>
      <c r="G420" s="35">
        <f t="shared" si="34"/>
        <v>8.3395935817974359E-3</v>
      </c>
      <c r="H420" s="35">
        <f t="shared" si="35"/>
        <v>-8.3124928771790008E-3</v>
      </c>
      <c r="I420" s="36">
        <f t="shared" si="36"/>
        <v>5.4950857917111162E-3</v>
      </c>
    </row>
    <row r="421" spans="1:9" x14ac:dyDescent="0.3">
      <c r="A421" s="1">
        <v>415</v>
      </c>
      <c r="B421" s="27">
        <v>35153</v>
      </c>
      <c r="C421" s="4">
        <v>435.99255399999998</v>
      </c>
      <c r="D421" s="4">
        <v>348.92138699999998</v>
      </c>
      <c r="E421">
        <v>40648.96875</v>
      </c>
      <c r="F421" s="34">
        <f t="shared" si="33"/>
        <v>2.363898969011684E-3</v>
      </c>
      <c r="G421" s="35">
        <f t="shared" si="34"/>
        <v>1.4483302971775122E-2</v>
      </c>
      <c r="H421" s="35">
        <f t="shared" si="35"/>
        <v>-5.0936855061122447E-3</v>
      </c>
      <c r="I421" s="36">
        <f t="shared" si="36"/>
        <v>1.4053127827138542E-2</v>
      </c>
    </row>
    <row r="422" spans="1:9" x14ac:dyDescent="0.3">
      <c r="A422" s="1">
        <v>416</v>
      </c>
      <c r="B422" s="27">
        <v>35500</v>
      </c>
      <c r="C422" s="4">
        <v>440.66601600000001</v>
      </c>
      <c r="D422" s="4">
        <v>349.76333599999998</v>
      </c>
      <c r="E422">
        <v>40941.960937999997</v>
      </c>
      <c r="F422" s="34">
        <f t="shared" si="33"/>
        <v>9.8227333602715731E-3</v>
      </c>
      <c r="G422" s="35">
        <f t="shared" si="34"/>
        <v>1.0662089970198444E-2</v>
      </c>
      <c r="H422" s="35">
        <f t="shared" si="35"/>
        <v>2.4100982312260963E-3</v>
      </c>
      <c r="I422" s="36">
        <f t="shared" si="36"/>
        <v>7.182010268259896E-3</v>
      </c>
    </row>
    <row r="423" spans="1:9" x14ac:dyDescent="0.3">
      <c r="A423" s="1">
        <v>417</v>
      </c>
      <c r="B423" s="27">
        <v>35995</v>
      </c>
      <c r="C423" s="4">
        <v>448.98382600000002</v>
      </c>
      <c r="D423" s="4">
        <v>348.12832600000002</v>
      </c>
      <c r="E423">
        <v>41831.300780999998</v>
      </c>
      <c r="F423" s="34">
        <f t="shared" si="33"/>
        <v>1.3847343439896078E-2</v>
      </c>
      <c r="G423" s="35">
        <f t="shared" si="34"/>
        <v>1.8699609629970752E-2</v>
      </c>
      <c r="H423" s="35">
        <f t="shared" si="35"/>
        <v>-4.6855782361742522E-3</v>
      </c>
      <c r="I423" s="36">
        <f t="shared" si="36"/>
        <v>2.148940487838941E-2</v>
      </c>
    </row>
    <row r="424" spans="1:9" x14ac:dyDescent="0.3">
      <c r="A424" s="1">
        <v>418</v>
      </c>
      <c r="B424" s="27">
        <v>35487</v>
      </c>
      <c r="C424" s="4">
        <v>445.830444</v>
      </c>
      <c r="D424" s="4">
        <v>349.91018700000001</v>
      </c>
      <c r="E424">
        <v>42622.5</v>
      </c>
      <c r="F424" s="34">
        <f t="shared" si="33"/>
        <v>-1.4213607689556762E-2</v>
      </c>
      <c r="G424" s="35">
        <f t="shared" si="34"/>
        <v>-7.0481554883335311E-3</v>
      </c>
      <c r="H424" s="35">
        <f t="shared" si="35"/>
        <v>5.1053483070115386E-3</v>
      </c>
      <c r="I424" s="36">
        <f t="shared" si="36"/>
        <v>1.8737401042268967E-2</v>
      </c>
    </row>
    <row r="425" spans="1:9" x14ac:dyDescent="0.3">
      <c r="A425" s="1">
        <v>419</v>
      </c>
      <c r="B425" s="27">
        <v>35487</v>
      </c>
      <c r="C425" s="4">
        <v>445.36785900000001</v>
      </c>
      <c r="D425" s="4">
        <v>349.20529199999999</v>
      </c>
      <c r="E425">
        <v>42108.230469000002</v>
      </c>
      <c r="F425" s="34">
        <f t="shared" si="33"/>
        <v>0</v>
      </c>
      <c r="G425" s="35">
        <f t="shared" si="34"/>
        <v>-1.0381192154124352E-3</v>
      </c>
      <c r="H425" s="35">
        <f t="shared" si="35"/>
        <v>-2.016534492625904E-3</v>
      </c>
      <c r="I425" s="36">
        <f t="shared" si="36"/>
        <v>-1.2139063200162555E-2</v>
      </c>
    </row>
    <row r="426" spans="1:9" x14ac:dyDescent="0.3">
      <c r="A426" s="1">
        <v>420</v>
      </c>
      <c r="B426" s="27">
        <v>35874</v>
      </c>
      <c r="C426" s="4">
        <v>438.57946800000002</v>
      </c>
      <c r="D426" s="4">
        <v>357.06701700000002</v>
      </c>
      <c r="E426">
        <v>41826.550780999998</v>
      </c>
      <c r="F426" s="34">
        <f t="shared" si="33"/>
        <v>1.0846366895112777E-2</v>
      </c>
      <c r="G426" s="35">
        <f t="shared" si="34"/>
        <v>-1.5359567815430457E-2</v>
      </c>
      <c r="H426" s="35">
        <f t="shared" si="35"/>
        <v>2.2263508361223514E-2</v>
      </c>
      <c r="I426" s="36">
        <f t="shared" si="36"/>
        <v>-6.7118956233885299E-3</v>
      </c>
    </row>
    <row r="427" spans="1:9" x14ac:dyDescent="0.3">
      <c r="A427" s="1">
        <v>421</v>
      </c>
      <c r="B427" s="27">
        <v>35646.199219000002</v>
      </c>
      <c r="C427" s="4">
        <v>444.046021</v>
      </c>
      <c r="D427" s="4">
        <v>356.38168300000001</v>
      </c>
      <c r="E427">
        <v>42324.46875</v>
      </c>
      <c r="F427" s="34">
        <f t="shared" si="33"/>
        <v>-6.370271722960643E-3</v>
      </c>
      <c r="G427" s="35">
        <f t="shared" si="34"/>
        <v>1.2387185659196814E-2</v>
      </c>
      <c r="H427" s="35">
        <f t="shared" si="35"/>
        <v>-1.9211870756650916E-3</v>
      </c>
      <c r="I427" s="36">
        <f t="shared" si="36"/>
        <v>1.183405222332562E-2</v>
      </c>
    </row>
    <row r="428" spans="1:9" x14ac:dyDescent="0.3">
      <c r="A428" s="1">
        <v>422</v>
      </c>
      <c r="B428" s="27">
        <v>36237.601562999997</v>
      </c>
      <c r="C428" s="4">
        <v>444.338684</v>
      </c>
      <c r="D428" s="4">
        <v>351.70187399999998</v>
      </c>
      <c r="E428">
        <v>42731.480469000002</v>
      </c>
      <c r="F428" s="34">
        <f t="shared" si="33"/>
        <v>1.6454769544365404E-2</v>
      </c>
      <c r="G428" s="35">
        <f t="shared" si="34"/>
        <v>6.588654868549548E-4</v>
      </c>
      <c r="H428" s="35">
        <f t="shared" si="35"/>
        <v>-1.3218431904719212E-2</v>
      </c>
      <c r="I428" s="36">
        <f t="shared" si="36"/>
        <v>9.5705198616675979E-3</v>
      </c>
    </row>
    <row r="429" spans="1:9" x14ac:dyDescent="0.3">
      <c r="A429" s="1">
        <v>423</v>
      </c>
      <c r="B429" s="27">
        <v>35851</v>
      </c>
      <c r="C429" s="4">
        <v>448.60623199999998</v>
      </c>
      <c r="D429" s="4">
        <v>350.76196299999998</v>
      </c>
      <c r="E429">
        <v>42707.660155999998</v>
      </c>
      <c r="F429" s="34">
        <f t="shared" si="33"/>
        <v>-1.072583628883869E-2</v>
      </c>
      <c r="G429" s="35">
        <f t="shared" si="34"/>
        <v>9.5584406497990822E-3</v>
      </c>
      <c r="H429" s="35">
        <f t="shared" si="35"/>
        <v>-2.6760425559323869E-3</v>
      </c>
      <c r="I429" s="36">
        <f t="shared" si="36"/>
        <v>-5.5759721932890536E-4</v>
      </c>
    </row>
    <row r="430" spans="1:9" x14ac:dyDescent="0.3">
      <c r="A430" s="1">
        <v>424</v>
      </c>
      <c r="B430" s="27">
        <v>35854</v>
      </c>
      <c r="C430" s="4">
        <v>449.19155899999998</v>
      </c>
      <c r="D430" s="4">
        <v>351.114441</v>
      </c>
      <c r="E430">
        <v>42662.46875</v>
      </c>
      <c r="F430" s="34">
        <f t="shared" si="33"/>
        <v>8.367617325855967E-5</v>
      </c>
      <c r="G430" s="35">
        <f t="shared" si="34"/>
        <v>1.3039174050076378E-3</v>
      </c>
      <c r="H430" s="35">
        <f t="shared" si="35"/>
        <v>1.004387745827407E-3</v>
      </c>
      <c r="I430" s="36">
        <f t="shared" si="36"/>
        <v>-1.0587171602128383E-3</v>
      </c>
    </row>
    <row r="431" spans="1:9" x14ac:dyDescent="0.3">
      <c r="A431" s="1">
        <v>425</v>
      </c>
      <c r="B431" s="27">
        <v>35448.898437999997</v>
      </c>
      <c r="C431" s="4">
        <v>449.26711999999998</v>
      </c>
      <c r="D431" s="4">
        <v>351.27108800000002</v>
      </c>
      <c r="E431">
        <v>42588.101562999997</v>
      </c>
      <c r="F431" s="34">
        <f t="shared" si="33"/>
        <v>-1.1362958018548452E-2</v>
      </c>
      <c r="G431" s="35">
        <f t="shared" si="34"/>
        <v>1.682013918819265E-4</v>
      </c>
      <c r="H431" s="35">
        <f t="shared" si="35"/>
        <v>4.4604279595621875E-4</v>
      </c>
      <c r="I431" s="36">
        <f t="shared" si="36"/>
        <v>-1.7446735098833321E-3</v>
      </c>
    </row>
    <row r="432" spans="1:9" x14ac:dyDescent="0.3">
      <c r="A432" s="1">
        <v>426</v>
      </c>
      <c r="B432" s="27">
        <v>35550</v>
      </c>
      <c r="C432" s="4">
        <v>441.86508199999997</v>
      </c>
      <c r="D432" s="4">
        <v>348.47100799999998</v>
      </c>
      <c r="E432">
        <v>42749.171875</v>
      </c>
      <c r="F432" s="34">
        <f t="shared" si="33"/>
        <v>2.8479774351516008E-3</v>
      </c>
      <c r="G432" s="35">
        <f t="shared" si="34"/>
        <v>-1.6613041758016405E-2</v>
      </c>
      <c r="H432" s="35">
        <f t="shared" si="35"/>
        <v>-8.0032199342425069E-3</v>
      </c>
      <c r="I432" s="36">
        <f t="shared" si="36"/>
        <v>3.7749156208467319E-3</v>
      </c>
    </row>
    <row r="433" spans="1:9" x14ac:dyDescent="0.3">
      <c r="A433" s="1">
        <v>427</v>
      </c>
      <c r="B433" s="27">
        <v>35888.398437999997</v>
      </c>
      <c r="C433" s="4">
        <v>440.13729899999998</v>
      </c>
      <c r="D433" s="4">
        <v>346.855591</v>
      </c>
      <c r="E433">
        <v>42670.410155999998</v>
      </c>
      <c r="F433" s="34">
        <f t="shared" si="33"/>
        <v>9.4739237295675439E-3</v>
      </c>
      <c r="G433" s="35">
        <f t="shared" si="34"/>
        <v>-3.9178697184924964E-3</v>
      </c>
      <c r="H433" s="35">
        <f t="shared" si="35"/>
        <v>-4.646506860891346E-3</v>
      </c>
      <c r="I433" s="36">
        <f t="shared" si="36"/>
        <v>-1.84411441611153E-3</v>
      </c>
    </row>
    <row r="434" spans="1:9" x14ac:dyDescent="0.3">
      <c r="A434" s="1">
        <v>428</v>
      </c>
      <c r="B434" s="27">
        <v>35800</v>
      </c>
      <c r="C434" s="4">
        <v>442.97915599999999</v>
      </c>
      <c r="D434" s="4">
        <v>348.99969499999997</v>
      </c>
      <c r="E434">
        <v>42841.460937999997</v>
      </c>
      <c r="F434" s="34">
        <f t="shared" si="33"/>
        <v>-2.4661865721628809E-3</v>
      </c>
      <c r="G434" s="35">
        <f t="shared" si="34"/>
        <v>6.4359956006464873E-3</v>
      </c>
      <c r="H434" s="35">
        <f t="shared" si="35"/>
        <v>6.1625192151950215E-3</v>
      </c>
      <c r="I434" s="36">
        <f t="shared" si="36"/>
        <v>4.0006377582909062E-3</v>
      </c>
    </row>
    <row r="435" spans="1:9" x14ac:dyDescent="0.3">
      <c r="A435" s="1">
        <v>429</v>
      </c>
      <c r="B435" s="27">
        <v>35205</v>
      </c>
      <c r="C435" s="4">
        <v>439.71243299999998</v>
      </c>
      <c r="D435" s="4">
        <v>347.95211799999998</v>
      </c>
      <c r="E435">
        <v>43448.941405999998</v>
      </c>
      <c r="F435" s="34">
        <f t="shared" si="33"/>
        <v>-1.6759775435558042E-2</v>
      </c>
      <c r="G435" s="35">
        <f t="shared" si="34"/>
        <v>-7.4017651350812468E-3</v>
      </c>
      <c r="H435" s="35">
        <f t="shared" si="35"/>
        <v>-3.0061699227337392E-3</v>
      </c>
      <c r="I435" s="36">
        <f t="shared" si="36"/>
        <v>1.408014072404001E-2</v>
      </c>
    </row>
    <row r="436" spans="1:9" x14ac:dyDescent="0.3">
      <c r="A436" s="1">
        <v>430</v>
      </c>
      <c r="B436" s="27">
        <v>35075</v>
      </c>
      <c r="C436" s="4">
        <v>440.74157700000001</v>
      </c>
      <c r="D436" s="4">
        <v>346.18005399999998</v>
      </c>
      <c r="E436">
        <v>43070.339844000002</v>
      </c>
      <c r="F436" s="34">
        <f t="shared" si="33"/>
        <v>-3.6994919825719067E-3</v>
      </c>
      <c r="G436" s="35">
        <f t="shared" si="34"/>
        <v>2.3377586041074378E-3</v>
      </c>
      <c r="H436" s="35">
        <f t="shared" si="35"/>
        <v>-5.1058513673553491E-3</v>
      </c>
      <c r="I436" s="36">
        <f t="shared" si="36"/>
        <v>-8.7518983776119028E-3</v>
      </c>
    </row>
    <row r="437" spans="1:9" x14ac:dyDescent="0.3">
      <c r="A437" s="1">
        <v>431</v>
      </c>
      <c r="B437" s="27">
        <v>35445.101562999997</v>
      </c>
      <c r="C437" s="4">
        <v>438.64556900000002</v>
      </c>
      <c r="D437" s="4">
        <v>351.89764400000001</v>
      </c>
      <c r="E437">
        <v>43017.460937999997</v>
      </c>
      <c r="F437" s="34">
        <f t="shared" si="33"/>
        <v>1.0496438683232273E-2</v>
      </c>
      <c r="G437" s="35">
        <f t="shared" si="34"/>
        <v>-4.7669834127000189E-3</v>
      </c>
      <c r="H437" s="35">
        <f t="shared" si="35"/>
        <v>1.6381322234841966E-2</v>
      </c>
      <c r="I437" s="36">
        <f t="shared" si="36"/>
        <v>-1.2284879430068515E-3</v>
      </c>
    </row>
    <row r="438" spans="1:9" x14ac:dyDescent="0.3">
      <c r="A438" s="1">
        <v>432</v>
      </c>
      <c r="B438" s="27">
        <v>34847.601562999997</v>
      </c>
      <c r="C438" s="4">
        <v>426.32458500000001</v>
      </c>
      <c r="D438" s="4">
        <v>353.37600700000002</v>
      </c>
      <c r="E438">
        <v>43559.449219000002</v>
      </c>
      <c r="F438" s="34">
        <f t="shared" si="33"/>
        <v>-1.7000751555211756E-2</v>
      </c>
      <c r="G438" s="35">
        <f t="shared" si="34"/>
        <v>-2.8490734313004432E-2</v>
      </c>
      <c r="H438" s="35">
        <f t="shared" si="35"/>
        <v>4.1923164523521442E-3</v>
      </c>
      <c r="I438" s="36">
        <f t="shared" si="36"/>
        <v>1.2520552197188518E-2</v>
      </c>
    </row>
    <row r="439" spans="1:9" x14ac:dyDescent="0.3">
      <c r="A439" s="1">
        <v>433</v>
      </c>
      <c r="B439" s="27">
        <v>34856</v>
      </c>
      <c r="C439" s="4">
        <v>425.871399</v>
      </c>
      <c r="D439" s="4">
        <v>350.47805799999998</v>
      </c>
      <c r="E439">
        <v>43507.949219000002</v>
      </c>
      <c r="F439" s="34">
        <f t="shared" si="33"/>
        <v>2.409756985958584E-4</v>
      </c>
      <c r="G439" s="35">
        <f t="shared" si="34"/>
        <v>-1.0635723500893744E-3</v>
      </c>
      <c r="H439" s="35">
        <f t="shared" si="35"/>
        <v>-8.234563155737902E-3</v>
      </c>
      <c r="I439" s="36">
        <f t="shared" si="36"/>
        <v>-1.1829917266387758E-3</v>
      </c>
    </row>
    <row r="440" spans="1:9" x14ac:dyDescent="0.3">
      <c r="A440" s="1">
        <v>434</v>
      </c>
      <c r="B440" s="27">
        <v>33844.898437999997</v>
      </c>
      <c r="C440" s="4">
        <v>427.81634500000001</v>
      </c>
      <c r="D440" s="4">
        <v>346.00381499999997</v>
      </c>
      <c r="E440">
        <v>43099.328125</v>
      </c>
      <c r="F440" s="34">
        <f t="shared" si="33"/>
        <v>-2.9437011656827005E-2</v>
      </c>
      <c r="G440" s="35">
        <f t="shared" si="34"/>
        <v>4.5565826119010914E-3</v>
      </c>
      <c r="H440" s="35">
        <f t="shared" si="35"/>
        <v>-1.2848301509412144E-2</v>
      </c>
      <c r="I440" s="36">
        <f t="shared" si="36"/>
        <v>-9.4362538251668276E-3</v>
      </c>
    </row>
    <row r="441" spans="1:9" x14ac:dyDescent="0.3">
      <c r="A441" s="1">
        <v>435</v>
      </c>
      <c r="B441" s="27">
        <v>34632.800780999998</v>
      </c>
      <c r="C441" s="4">
        <v>419.22467</v>
      </c>
      <c r="D441" s="4">
        <v>349.52838100000002</v>
      </c>
      <c r="E441">
        <v>43014.078125</v>
      </c>
      <c r="F441" s="34">
        <f t="shared" si="33"/>
        <v>2.3012955288540284E-2</v>
      </c>
      <c r="G441" s="35">
        <f t="shared" si="34"/>
        <v>-2.0287021558489202E-2</v>
      </c>
      <c r="H441" s="35">
        <f t="shared" si="35"/>
        <v>1.0134961946421517E-2</v>
      </c>
      <c r="I441" s="36">
        <f t="shared" si="36"/>
        <v>-1.9799478748340855E-3</v>
      </c>
    </row>
    <row r="442" spans="1:9" x14ac:dyDescent="0.3">
      <c r="A442" s="1">
        <v>436</v>
      </c>
      <c r="B442" s="27">
        <v>34129.300780999998</v>
      </c>
      <c r="C442" s="4">
        <v>419.16802999999999</v>
      </c>
      <c r="D442" s="4">
        <v>346.64999399999999</v>
      </c>
      <c r="E442">
        <v>42984.75</v>
      </c>
      <c r="F442" s="34">
        <f t="shared" si="33"/>
        <v>-1.4644956670416383E-2</v>
      </c>
      <c r="G442" s="35">
        <f t="shared" si="34"/>
        <v>-1.3511568048283349E-4</v>
      </c>
      <c r="H442" s="35">
        <f t="shared" si="35"/>
        <v>-8.2691548749454589E-3</v>
      </c>
      <c r="I442" s="36">
        <f t="shared" si="36"/>
        <v>-6.8205873908735743E-4</v>
      </c>
    </row>
    <row r="443" spans="1:9" x14ac:dyDescent="0.3">
      <c r="A443" s="1">
        <v>437</v>
      </c>
      <c r="B443" s="27">
        <v>33945.601562999997</v>
      </c>
      <c r="C443" s="4">
        <v>433.09402499999999</v>
      </c>
      <c r="D443" s="4">
        <v>347.80526700000001</v>
      </c>
      <c r="E443">
        <v>42857.578125</v>
      </c>
      <c r="F443" s="34">
        <f t="shared" si="33"/>
        <v>-5.396986482992484E-3</v>
      </c>
      <c r="G443" s="35">
        <f t="shared" si="34"/>
        <v>3.2682986449737481E-2</v>
      </c>
      <c r="H443" s="35">
        <f t="shared" si="35"/>
        <v>3.3271374863243406E-3</v>
      </c>
      <c r="I443" s="36">
        <f t="shared" si="36"/>
        <v>-2.9629198278616499E-3</v>
      </c>
    </row>
    <row r="444" spans="1:9" x14ac:dyDescent="0.3">
      <c r="A444" s="1">
        <v>438</v>
      </c>
      <c r="B444" s="27">
        <v>34220.699219000002</v>
      </c>
      <c r="C444" s="4">
        <v>425.90917999999999</v>
      </c>
      <c r="D444" s="4">
        <v>347.79547100000002</v>
      </c>
      <c r="E444">
        <v>43011.269530999998</v>
      </c>
      <c r="F444" s="34">
        <f t="shared" si="33"/>
        <v>8.0714120126974889E-3</v>
      </c>
      <c r="G444" s="35">
        <f t="shared" si="34"/>
        <v>-1.6728721182963608E-2</v>
      </c>
      <c r="H444" s="35">
        <f t="shared" si="35"/>
        <v>-2.8165582540398317E-5</v>
      </c>
      <c r="I444" s="36">
        <f t="shared" si="36"/>
        <v>3.5796816730094805E-3</v>
      </c>
    </row>
    <row r="445" spans="1:9" x14ac:dyDescent="0.3">
      <c r="A445" s="1">
        <v>439</v>
      </c>
      <c r="B445" s="27">
        <v>34440.398437999997</v>
      </c>
      <c r="C445" s="4">
        <v>433.70773300000002</v>
      </c>
      <c r="D445" s="4">
        <v>345.18142699999999</v>
      </c>
      <c r="E445">
        <v>42937.160155999998</v>
      </c>
      <c r="F445" s="34">
        <f t="shared" si="33"/>
        <v>6.3995472340850753E-3</v>
      </c>
      <c r="G445" s="35">
        <f t="shared" si="34"/>
        <v>1.814474992744481E-2</v>
      </c>
      <c r="H445" s="35">
        <f t="shared" si="35"/>
        <v>-7.5444258140716603E-3</v>
      </c>
      <c r="I445" s="36">
        <f t="shared" si="36"/>
        <v>-1.7245083740615244E-3</v>
      </c>
    </row>
    <row r="446" spans="1:9" x14ac:dyDescent="0.3">
      <c r="A446" s="1">
        <v>440</v>
      </c>
      <c r="B446" s="27">
        <v>33972</v>
      </c>
      <c r="C446" s="4">
        <v>426.74941999999999</v>
      </c>
      <c r="D446" s="4">
        <v>340.48199499999998</v>
      </c>
      <c r="E446">
        <v>42222.898437999997</v>
      </c>
      <c r="F446" s="34">
        <f t="shared" si="33"/>
        <v>-1.3693592622465167E-2</v>
      </c>
      <c r="G446" s="35">
        <f t="shared" si="34"/>
        <v>-1.617387841572589E-2</v>
      </c>
      <c r="H446" s="35">
        <f t="shared" si="35"/>
        <v>-1.3707908098628445E-2</v>
      </c>
      <c r="I446" s="36">
        <f t="shared" si="36"/>
        <v>-1.6774964205456266E-2</v>
      </c>
    </row>
    <row r="447" spans="1:9" x14ac:dyDescent="0.3">
      <c r="A447" s="1">
        <v>441</v>
      </c>
      <c r="B447" s="27">
        <v>33805</v>
      </c>
      <c r="C447" s="4">
        <v>427.042145</v>
      </c>
      <c r="D447" s="4">
        <v>339.326752</v>
      </c>
      <c r="E447">
        <v>42443.308594000002</v>
      </c>
      <c r="F447" s="34">
        <f t="shared" si="33"/>
        <v>-4.9279353751216478E-3</v>
      </c>
      <c r="G447" s="35">
        <f t="shared" si="34"/>
        <v>6.8570602819145612E-4</v>
      </c>
      <c r="H447" s="35">
        <f t="shared" si="35"/>
        <v>-3.3987327087286997E-3</v>
      </c>
      <c r="I447" s="36">
        <f t="shared" si="36"/>
        <v>5.206579145126628E-3</v>
      </c>
    </row>
    <row r="448" spans="1:9" x14ac:dyDescent="0.3">
      <c r="A448" s="1">
        <v>442</v>
      </c>
      <c r="B448" s="27">
        <v>33994</v>
      </c>
      <c r="C448" s="4">
        <v>435.35998499999999</v>
      </c>
      <c r="D448" s="4">
        <v>343.26248199999998</v>
      </c>
      <c r="E448">
        <v>43416.898437999997</v>
      </c>
      <c r="F448" s="34">
        <f t="shared" si="33"/>
        <v>5.575317912518446E-3</v>
      </c>
      <c r="G448" s="35">
        <f t="shared" si="34"/>
        <v>1.9290531988421844E-2</v>
      </c>
      <c r="H448" s="35">
        <f t="shared" si="35"/>
        <v>1.1531894790649717E-2</v>
      </c>
      <c r="I448" s="36">
        <f t="shared" si="36"/>
        <v>2.2679460216449177E-2</v>
      </c>
    </row>
    <row r="449" spans="1:9" x14ac:dyDescent="0.3">
      <c r="A449" s="1">
        <v>443</v>
      </c>
      <c r="B449" s="27">
        <v>33995</v>
      </c>
      <c r="C449" s="4">
        <v>434.208099</v>
      </c>
      <c r="D449" s="4">
        <v>341.94079599999998</v>
      </c>
      <c r="E449">
        <v>42952.289062999997</v>
      </c>
      <c r="F449" s="34">
        <f t="shared" si="33"/>
        <v>2.9416523263229341E-5</v>
      </c>
      <c r="G449" s="35">
        <f t="shared" si="34"/>
        <v>-2.6493306158478711E-3</v>
      </c>
      <c r="H449" s="35">
        <f t="shared" si="35"/>
        <v>-3.857797186943652E-3</v>
      </c>
      <c r="I449" s="36">
        <f t="shared" si="36"/>
        <v>-1.0758787248954191E-2</v>
      </c>
    </row>
    <row r="450" spans="1:9" x14ac:dyDescent="0.3">
      <c r="A450" s="1">
        <v>444</v>
      </c>
      <c r="B450" s="27">
        <v>33536</v>
      </c>
      <c r="C450" s="4">
        <v>435.48272700000001</v>
      </c>
      <c r="D450" s="4">
        <v>344.90728799999999</v>
      </c>
      <c r="E450">
        <v>42535.140625</v>
      </c>
      <c r="F450" s="34">
        <f t="shared" si="33"/>
        <v>-1.359396627984598E-2</v>
      </c>
      <c r="G450" s="35">
        <f t="shared" si="34"/>
        <v>2.9312230841926122E-3</v>
      </c>
      <c r="H450" s="35">
        <f t="shared" si="35"/>
        <v>8.6380395160475399E-3</v>
      </c>
      <c r="I450" s="36">
        <f t="shared" si="36"/>
        <v>-9.7593704821859473E-3</v>
      </c>
    </row>
    <row r="451" spans="1:9" x14ac:dyDescent="0.3">
      <c r="A451" s="1">
        <v>445</v>
      </c>
      <c r="B451" s="27">
        <v>33790</v>
      </c>
      <c r="C451" s="4">
        <v>433.07516500000003</v>
      </c>
      <c r="D451" s="4">
        <v>340.13937399999998</v>
      </c>
      <c r="E451">
        <v>42501.921875</v>
      </c>
      <c r="F451" s="34">
        <f t="shared" si="33"/>
        <v>7.5454120276216277E-3</v>
      </c>
      <c r="G451" s="35">
        <f t="shared" si="34"/>
        <v>-5.5438288877401251E-3</v>
      </c>
      <c r="H451" s="35">
        <f t="shared" si="35"/>
        <v>-1.3920193338161128E-2</v>
      </c>
      <c r="I451" s="36">
        <f t="shared" si="36"/>
        <v>-7.8127702705414433E-4</v>
      </c>
    </row>
    <row r="452" spans="1:9" x14ac:dyDescent="0.3">
      <c r="A452" s="1">
        <v>446</v>
      </c>
      <c r="B452" s="27">
        <v>33490</v>
      </c>
      <c r="C452" s="4">
        <v>440.18454000000003</v>
      </c>
      <c r="D452" s="4">
        <v>331.92517099999998</v>
      </c>
      <c r="E452">
        <v>42929.761719000002</v>
      </c>
      <c r="F452" s="34">
        <f t="shared" si="33"/>
        <v>-8.918013920085309E-3</v>
      </c>
      <c r="G452" s="35">
        <f t="shared" si="34"/>
        <v>1.6282743914512125E-2</v>
      </c>
      <c r="H452" s="35">
        <f t="shared" si="35"/>
        <v>-2.4445902185468334E-2</v>
      </c>
      <c r="I452" s="36">
        <f t="shared" si="36"/>
        <v>1.0016036270651138E-2</v>
      </c>
    </row>
    <row r="453" spans="1:9" x14ac:dyDescent="0.3">
      <c r="A453" s="1">
        <v>447</v>
      </c>
      <c r="B453" s="27">
        <v>33590</v>
      </c>
      <c r="C453" s="4">
        <v>444.91461199999998</v>
      </c>
      <c r="D453" s="4">
        <v>332.41470299999997</v>
      </c>
      <c r="E453">
        <v>43214.601562999997</v>
      </c>
      <c r="F453" s="34">
        <f t="shared" si="33"/>
        <v>2.9815168180881151E-3</v>
      </c>
      <c r="G453" s="35">
        <f t="shared" si="34"/>
        <v>1.0688332532439162E-2</v>
      </c>
      <c r="H453" s="35">
        <f t="shared" si="35"/>
        <v>1.4737398965807163E-3</v>
      </c>
      <c r="I453" s="36">
        <f t="shared" si="36"/>
        <v>6.6131055179031398E-3</v>
      </c>
    </row>
    <row r="454" spans="1:9" x14ac:dyDescent="0.3">
      <c r="A454" s="1">
        <v>448</v>
      </c>
      <c r="B454" s="27">
        <v>33510</v>
      </c>
      <c r="C454" s="4">
        <v>448.94610599999999</v>
      </c>
      <c r="D454" s="4">
        <v>321.958527</v>
      </c>
      <c r="E454">
        <v>43299.53125</v>
      </c>
      <c r="F454" s="34">
        <f t="shared" si="33"/>
        <v>-2.3845018749823798E-3</v>
      </c>
      <c r="G454" s="35">
        <f t="shared" si="34"/>
        <v>9.0204687492880971E-3</v>
      </c>
      <c r="H454" s="35">
        <f t="shared" si="35"/>
        <v>-3.1960555742464834E-2</v>
      </c>
      <c r="I454" s="36">
        <f t="shared" si="36"/>
        <v>1.9633720300019607E-3</v>
      </c>
    </row>
    <row r="455" spans="1:9" x14ac:dyDescent="0.3">
      <c r="A455" s="1">
        <v>449</v>
      </c>
      <c r="B455" s="27">
        <v>34045</v>
      </c>
      <c r="C455" s="4">
        <v>448.60623199999998</v>
      </c>
      <c r="D455" s="4">
        <v>333.98117100000002</v>
      </c>
      <c r="E455">
        <v>43244.628905999998</v>
      </c>
      <c r="F455" s="34">
        <f t="shared" si="33"/>
        <v>1.5839277185710994E-2</v>
      </c>
      <c r="G455" s="35">
        <f t="shared" si="34"/>
        <v>-7.5733525913844371E-4</v>
      </c>
      <c r="H455" s="35">
        <f t="shared" si="35"/>
        <v>3.6661878023545591E-2</v>
      </c>
      <c r="I455" s="36">
        <f t="shared" si="36"/>
        <v>-1.2687707932249261E-3</v>
      </c>
    </row>
    <row r="456" spans="1:9" x14ac:dyDescent="0.3">
      <c r="A456" s="1">
        <v>450</v>
      </c>
      <c r="B456" s="27">
        <v>34130</v>
      </c>
      <c r="C456" s="4">
        <v>450.61721799999998</v>
      </c>
      <c r="D456" s="4">
        <v>335.99798600000003</v>
      </c>
      <c r="E456">
        <v>43538.488280999998</v>
      </c>
      <c r="F456" s="34">
        <f t="shared" ref="F456:F519" si="37">LN(B456/B455)</f>
        <v>2.4935839836857827E-3</v>
      </c>
      <c r="G456" s="35">
        <f t="shared" ref="G456:G519" si="38">LN(C456/C455)</f>
        <v>4.4727244435727332E-3</v>
      </c>
      <c r="H456" s="35">
        <f t="shared" ref="H456:H519" si="39">LN(D456/D455)</f>
        <v>6.0205487615052388E-3</v>
      </c>
      <c r="I456" s="36">
        <f t="shared" ref="I456:I519" si="40">LN(E456/E455)</f>
        <v>6.7722964478549889E-3</v>
      </c>
    </row>
    <row r="457" spans="1:9" x14ac:dyDescent="0.3">
      <c r="A457" s="1">
        <v>451</v>
      </c>
      <c r="B457" s="27">
        <v>34395</v>
      </c>
      <c r="C457" s="4">
        <v>454.67700200000002</v>
      </c>
      <c r="D457" s="4">
        <v>340.070831</v>
      </c>
      <c r="E457">
        <v>43479.980469000002</v>
      </c>
      <c r="F457" s="34">
        <f t="shared" si="37"/>
        <v>7.7344420593618134E-3</v>
      </c>
      <c r="G457" s="35">
        <f t="shared" si="38"/>
        <v>8.9690426065225926E-3</v>
      </c>
      <c r="H457" s="35">
        <f t="shared" si="39"/>
        <v>1.2048756486228577E-2</v>
      </c>
      <c r="I457" s="36">
        <f t="shared" si="40"/>
        <v>-1.3447219114970071E-3</v>
      </c>
    </row>
    <row r="458" spans="1:9" x14ac:dyDescent="0.3">
      <c r="A458" s="1">
        <v>452</v>
      </c>
      <c r="B458" s="27">
        <v>33634</v>
      </c>
      <c r="C458" s="4">
        <v>450.67388899999997</v>
      </c>
      <c r="D458" s="4">
        <v>336.53646900000001</v>
      </c>
      <c r="E458">
        <v>43178.628905999998</v>
      </c>
      <c r="F458" s="34">
        <f t="shared" si="37"/>
        <v>-2.2373744877419222E-2</v>
      </c>
      <c r="G458" s="35">
        <f t="shared" si="38"/>
        <v>-8.8432874545310083E-3</v>
      </c>
      <c r="H458" s="35">
        <f t="shared" si="39"/>
        <v>-1.0447401756912963E-2</v>
      </c>
      <c r="I458" s="36">
        <f t="shared" si="40"/>
        <v>-6.9549414628454365E-3</v>
      </c>
    </row>
    <row r="459" spans="1:9" x14ac:dyDescent="0.3">
      <c r="A459" s="1">
        <v>453</v>
      </c>
      <c r="B459" s="27">
        <v>34141</v>
      </c>
      <c r="C459" s="4">
        <v>451.38192700000002</v>
      </c>
      <c r="D459" s="4">
        <v>345.33807400000001</v>
      </c>
      <c r="E459">
        <v>43405.429687999997</v>
      </c>
      <c r="F459" s="34">
        <f t="shared" si="37"/>
        <v>1.4961547990830269E-2</v>
      </c>
      <c r="G459" s="35">
        <f t="shared" si="38"/>
        <v>1.5698322273348852E-3</v>
      </c>
      <c r="H459" s="35">
        <f t="shared" si="39"/>
        <v>2.5817341229384717E-2</v>
      </c>
      <c r="I459" s="36">
        <f t="shared" si="40"/>
        <v>5.238869704406502E-3</v>
      </c>
    </row>
    <row r="460" spans="1:9" x14ac:dyDescent="0.3">
      <c r="A460" s="1">
        <v>454</v>
      </c>
      <c r="B460" s="27">
        <v>33810</v>
      </c>
      <c r="C460" s="4">
        <v>441.59127799999999</v>
      </c>
      <c r="D460" s="4">
        <v>333.853882</v>
      </c>
      <c r="E460">
        <v>43363.539062999997</v>
      </c>
      <c r="F460" s="34">
        <f t="shared" si="37"/>
        <v>-9.7423913715939375E-3</v>
      </c>
      <c r="G460" s="35">
        <f t="shared" si="38"/>
        <v>-2.1929082059258656E-2</v>
      </c>
      <c r="H460" s="35">
        <f t="shared" si="39"/>
        <v>-3.3820443643411489E-2</v>
      </c>
      <c r="I460" s="36">
        <f t="shared" si="40"/>
        <v>-9.6556704217231769E-4</v>
      </c>
    </row>
    <row r="461" spans="1:9" x14ac:dyDescent="0.3">
      <c r="A461" s="1">
        <v>455</v>
      </c>
      <c r="B461" s="27">
        <v>33707.101562999997</v>
      </c>
      <c r="C461" s="4">
        <v>442.51654100000002</v>
      </c>
      <c r="D461" s="4">
        <v>339.35611</v>
      </c>
      <c r="E461">
        <v>43546.480469000002</v>
      </c>
      <c r="F461" s="34">
        <f t="shared" si="37"/>
        <v>-3.0480726892852311E-3</v>
      </c>
      <c r="G461" s="35">
        <f t="shared" si="38"/>
        <v>2.0931006782635392E-3</v>
      </c>
      <c r="H461" s="35">
        <f t="shared" si="39"/>
        <v>1.6346609784346537E-2</v>
      </c>
      <c r="I461" s="36">
        <f t="shared" si="40"/>
        <v>4.2099099086493567E-3</v>
      </c>
    </row>
    <row r="462" spans="1:9" x14ac:dyDescent="0.3">
      <c r="A462" s="1">
        <v>456</v>
      </c>
      <c r="B462" s="27">
        <v>34104.101562999997</v>
      </c>
      <c r="C462" s="4">
        <v>430.762024</v>
      </c>
      <c r="D462" s="4">
        <v>335.302887</v>
      </c>
      <c r="E462">
        <v>43776.601562999997</v>
      </c>
      <c r="F462" s="34">
        <f t="shared" si="37"/>
        <v>1.1709113465732248E-2</v>
      </c>
      <c r="G462" s="35">
        <f t="shared" si="38"/>
        <v>-2.6922055418544449E-2</v>
      </c>
      <c r="H462" s="35">
        <f t="shared" si="39"/>
        <v>-1.2015764362319927E-2</v>
      </c>
      <c r="I462" s="36">
        <f t="shared" si="40"/>
        <v>5.2705795845994427E-3</v>
      </c>
    </row>
    <row r="463" spans="1:9" x14ac:dyDescent="0.3">
      <c r="A463" s="1">
        <v>457</v>
      </c>
      <c r="B463" s="27">
        <v>33541.101562999997</v>
      </c>
      <c r="C463" s="4">
        <v>428.694366</v>
      </c>
      <c r="D463" s="4">
        <v>332.22866800000003</v>
      </c>
      <c r="E463">
        <v>43389.160155999998</v>
      </c>
      <c r="F463" s="34">
        <f t="shared" si="37"/>
        <v>-1.6646058378730056E-2</v>
      </c>
      <c r="G463" s="35">
        <f t="shared" si="38"/>
        <v>-4.8115576615648361E-3</v>
      </c>
      <c r="H463" s="35">
        <f t="shared" si="39"/>
        <v>-9.2107727679510629E-3</v>
      </c>
      <c r="I463" s="36">
        <f t="shared" si="40"/>
        <v>-8.8898198316573907E-3</v>
      </c>
    </row>
    <row r="464" spans="1:9" x14ac:dyDescent="0.3">
      <c r="A464" s="1">
        <v>458</v>
      </c>
      <c r="B464" s="27">
        <v>33929</v>
      </c>
      <c r="C464" s="4">
        <v>434.76516700000002</v>
      </c>
      <c r="D464" s="4">
        <v>340.71697999999998</v>
      </c>
      <c r="E464">
        <v>43765.488280999998</v>
      </c>
      <c r="F464" s="34">
        <f t="shared" si="37"/>
        <v>1.1498506801040665E-2</v>
      </c>
      <c r="G464" s="35">
        <f t="shared" si="38"/>
        <v>1.4061807882177747E-2</v>
      </c>
      <c r="H464" s="35">
        <f t="shared" si="39"/>
        <v>2.5228671125690258E-2</v>
      </c>
      <c r="I464" s="36">
        <f t="shared" si="40"/>
        <v>8.6359240866619828E-3</v>
      </c>
    </row>
    <row r="465" spans="1:9" x14ac:dyDescent="0.3">
      <c r="A465" s="1">
        <v>459</v>
      </c>
      <c r="B465" s="27">
        <v>33752.5</v>
      </c>
      <c r="C465" s="4">
        <v>409.99102800000003</v>
      </c>
      <c r="D465" s="4">
        <v>336.07629400000002</v>
      </c>
      <c r="E465">
        <v>43851.058594000002</v>
      </c>
      <c r="F465" s="34">
        <f t="shared" si="37"/>
        <v>-5.2156172692880429E-3</v>
      </c>
      <c r="G465" s="35">
        <f t="shared" si="38"/>
        <v>-5.8670762810279289E-2</v>
      </c>
      <c r="H465" s="35">
        <f t="shared" si="39"/>
        <v>-1.3713962328744214E-2</v>
      </c>
      <c r="I465" s="36">
        <f t="shared" si="40"/>
        <v>1.9532917755545583E-3</v>
      </c>
    </row>
    <row r="466" spans="1:9" x14ac:dyDescent="0.3">
      <c r="A466" s="1">
        <v>460</v>
      </c>
      <c r="B466" s="27">
        <v>34035</v>
      </c>
      <c r="C466" s="4">
        <v>410.73690800000003</v>
      </c>
      <c r="D466" s="4">
        <v>338.68057299999998</v>
      </c>
      <c r="E466">
        <v>43741.621094000002</v>
      </c>
      <c r="F466" s="34">
        <f t="shared" si="37"/>
        <v>8.3349182506505144E-3</v>
      </c>
      <c r="G466" s="35">
        <f t="shared" si="38"/>
        <v>1.8176064750075097E-3</v>
      </c>
      <c r="H466" s="35">
        <f t="shared" si="39"/>
        <v>7.7192009712390508E-3</v>
      </c>
      <c r="I466" s="36">
        <f t="shared" si="40"/>
        <v>-2.4987831707633788E-3</v>
      </c>
    </row>
    <row r="467" spans="1:9" x14ac:dyDescent="0.3">
      <c r="A467" s="1">
        <v>461</v>
      </c>
      <c r="B467" s="27">
        <v>34131.398437999997</v>
      </c>
      <c r="C467" s="4">
        <v>416.97763099999997</v>
      </c>
      <c r="D467" s="4">
        <v>337.56448399999999</v>
      </c>
      <c r="E467">
        <v>43337.28125</v>
      </c>
      <c r="F467" s="34">
        <f t="shared" si="37"/>
        <v>2.8283290439300914E-3</v>
      </c>
      <c r="G467" s="35">
        <f t="shared" si="38"/>
        <v>1.5079694667032729E-2</v>
      </c>
      <c r="H467" s="35">
        <f t="shared" si="39"/>
        <v>-3.3008448692268973E-3</v>
      </c>
      <c r="I467" s="36">
        <f t="shared" si="40"/>
        <v>-9.2868132034843193E-3</v>
      </c>
    </row>
    <row r="468" spans="1:9" x14ac:dyDescent="0.3">
      <c r="A468" s="1">
        <v>462</v>
      </c>
      <c r="B468" s="27">
        <v>34190.699219000002</v>
      </c>
      <c r="C468" s="4">
        <v>400.63467400000002</v>
      </c>
      <c r="D468" s="4">
        <v>338.95471199999997</v>
      </c>
      <c r="E468">
        <v>43814.550780999998</v>
      </c>
      <c r="F468" s="34">
        <f t="shared" si="37"/>
        <v>1.7359184780652466E-3</v>
      </c>
      <c r="G468" s="35">
        <f t="shared" si="38"/>
        <v>-3.9982603020845019E-2</v>
      </c>
      <c r="H468" s="35">
        <f t="shared" si="39"/>
        <v>4.1099497698237107E-3</v>
      </c>
      <c r="I468" s="36">
        <f t="shared" si="40"/>
        <v>1.0952708418052738E-2</v>
      </c>
    </row>
    <row r="469" spans="1:9" x14ac:dyDescent="0.3">
      <c r="A469" s="1">
        <v>463</v>
      </c>
      <c r="B469" s="27">
        <v>34676.101562999997</v>
      </c>
      <c r="C469" s="4">
        <v>420.79196200000001</v>
      </c>
      <c r="D469" s="4">
        <v>334.75460800000002</v>
      </c>
      <c r="E469">
        <v>43815.761719000002</v>
      </c>
      <c r="F469" s="34">
        <f t="shared" si="37"/>
        <v>1.4097079493563936E-2</v>
      </c>
      <c r="G469" s="35">
        <f t="shared" si="38"/>
        <v>4.9088584876748761E-2</v>
      </c>
      <c r="H469" s="35">
        <f t="shared" si="39"/>
        <v>-1.2468755562589485E-2</v>
      </c>
      <c r="I469" s="36">
        <f t="shared" si="40"/>
        <v>2.7637422839919047E-5</v>
      </c>
    </row>
    <row r="470" spans="1:9" x14ac:dyDescent="0.3">
      <c r="A470" s="1">
        <v>464</v>
      </c>
      <c r="B470" s="27">
        <v>34650</v>
      </c>
      <c r="C470" s="4">
        <v>404.939911</v>
      </c>
      <c r="D470" s="4">
        <v>328.21460000000002</v>
      </c>
      <c r="E470">
        <v>43611.839844000002</v>
      </c>
      <c r="F470" s="34">
        <f t="shared" si="37"/>
        <v>-7.5300827956186649E-4</v>
      </c>
      <c r="G470" s="35">
        <f t="shared" si="38"/>
        <v>-3.8399871332334808E-2</v>
      </c>
      <c r="H470" s="35">
        <f t="shared" si="39"/>
        <v>-1.9730087236539184E-2</v>
      </c>
      <c r="I470" s="36">
        <f t="shared" si="40"/>
        <v>-4.6649397023548599E-3</v>
      </c>
    </row>
    <row r="471" spans="1:9" x14ac:dyDescent="0.3">
      <c r="A471" s="1">
        <v>465</v>
      </c>
      <c r="B471" s="27">
        <v>34379</v>
      </c>
      <c r="C471" s="4">
        <v>386.06664999999998</v>
      </c>
      <c r="D471" s="4">
        <v>342.10720800000001</v>
      </c>
      <c r="E471">
        <v>43818.511719000002</v>
      </c>
      <c r="F471" s="34">
        <f t="shared" si="37"/>
        <v>-7.8518127825360287E-3</v>
      </c>
      <c r="G471" s="35">
        <f t="shared" si="38"/>
        <v>-4.7728665244556816E-2</v>
      </c>
      <c r="H471" s="35">
        <f t="shared" si="39"/>
        <v>4.1456498887567542E-2</v>
      </c>
      <c r="I471" s="36">
        <f t="shared" si="40"/>
        <v>4.727700535371776E-3</v>
      </c>
    </row>
    <row r="472" spans="1:9" x14ac:dyDescent="0.3">
      <c r="A472" s="1">
        <v>466</v>
      </c>
      <c r="B472" s="27">
        <v>34415</v>
      </c>
      <c r="C472" s="4">
        <v>387.79437300000001</v>
      </c>
      <c r="D472" s="4">
        <v>334.75460800000002</v>
      </c>
      <c r="E472">
        <v>44119.898437999997</v>
      </c>
      <c r="F472" s="34">
        <f t="shared" si="37"/>
        <v>1.0466029969513507E-3</v>
      </c>
      <c r="G472" s="35">
        <f t="shared" si="38"/>
        <v>4.4652096934073441E-3</v>
      </c>
      <c r="H472" s="35">
        <f t="shared" si="39"/>
        <v>-2.1726411651028173E-2</v>
      </c>
      <c r="I472" s="36">
        <f t="shared" si="40"/>
        <v>6.8545223526882363E-3</v>
      </c>
    </row>
    <row r="473" spans="1:9" x14ac:dyDescent="0.3">
      <c r="A473" s="1">
        <v>467</v>
      </c>
      <c r="B473" s="27">
        <v>33987</v>
      </c>
      <c r="C473" s="4">
        <v>385.91558800000001</v>
      </c>
      <c r="D473" s="4">
        <v>335.25390599999997</v>
      </c>
      <c r="E473">
        <v>43702.230469000002</v>
      </c>
      <c r="F473" s="34">
        <f t="shared" si="37"/>
        <v>-1.25144172908663E-2</v>
      </c>
      <c r="G473" s="35">
        <f t="shared" si="38"/>
        <v>-4.856571034361123E-3</v>
      </c>
      <c r="H473" s="35">
        <f t="shared" si="39"/>
        <v>1.490423127449085E-3</v>
      </c>
      <c r="I473" s="36">
        <f t="shared" si="40"/>
        <v>-9.5117511538500982E-3</v>
      </c>
    </row>
    <row r="474" spans="1:9" x14ac:dyDescent="0.3">
      <c r="A474" s="1">
        <v>468</v>
      </c>
      <c r="B474" s="27">
        <v>33853.101562999997</v>
      </c>
      <c r="C474" s="4">
        <v>393.72357199999999</v>
      </c>
      <c r="D474" s="4">
        <v>332.816101</v>
      </c>
      <c r="E474">
        <v>43595.601562999997</v>
      </c>
      <c r="F474" s="34">
        <f t="shared" si="37"/>
        <v>-3.9474767221307754E-3</v>
      </c>
      <c r="G474" s="35">
        <f t="shared" si="38"/>
        <v>2.0030407544933224E-2</v>
      </c>
      <c r="H474" s="35">
        <f t="shared" si="39"/>
        <v>-7.2980849152135862E-3</v>
      </c>
      <c r="I474" s="36">
        <f t="shared" si="40"/>
        <v>-2.4428775960421128E-3</v>
      </c>
    </row>
    <row r="475" spans="1:9" x14ac:dyDescent="0.3">
      <c r="A475" s="1">
        <v>469</v>
      </c>
      <c r="B475" s="27">
        <v>34334</v>
      </c>
      <c r="C475" s="4">
        <v>389.22949199999999</v>
      </c>
      <c r="D475" s="4">
        <v>335.851135</v>
      </c>
      <c r="E475">
        <v>43100.769530999998</v>
      </c>
      <c r="F475" s="34">
        <f t="shared" si="37"/>
        <v>1.4105495011407197E-2</v>
      </c>
      <c r="G475" s="35">
        <f t="shared" si="38"/>
        <v>-1.1479945765455565E-2</v>
      </c>
      <c r="H475" s="35">
        <f t="shared" si="39"/>
        <v>9.0779230066389237E-3</v>
      </c>
      <c r="I475" s="36">
        <f t="shared" si="40"/>
        <v>-1.1415412185655277E-2</v>
      </c>
    </row>
    <row r="476" spans="1:9" x14ac:dyDescent="0.3">
      <c r="A476" s="1">
        <v>470</v>
      </c>
      <c r="B476" s="27">
        <v>33927.898437999997</v>
      </c>
      <c r="C476" s="4">
        <v>379.59930400000002</v>
      </c>
      <c r="D476" s="4">
        <v>325.17956500000003</v>
      </c>
      <c r="E476">
        <v>43098.660155999998</v>
      </c>
      <c r="F476" s="34">
        <f t="shared" si="37"/>
        <v>-1.1898478137660293E-2</v>
      </c>
      <c r="G476" s="35">
        <f t="shared" si="38"/>
        <v>-2.5052890166530572E-2</v>
      </c>
      <c r="H476" s="35">
        <f t="shared" si="39"/>
        <v>-3.2290473746184808E-2</v>
      </c>
      <c r="I476" s="36">
        <f t="shared" si="40"/>
        <v>-4.8941739129328141E-5</v>
      </c>
    </row>
    <row r="477" spans="1:9" x14ac:dyDescent="0.3">
      <c r="A477" s="1">
        <v>471</v>
      </c>
      <c r="B477" s="27">
        <v>33900</v>
      </c>
      <c r="C477" s="4">
        <v>380.89276100000001</v>
      </c>
      <c r="D477" s="4">
        <v>324.20053100000001</v>
      </c>
      <c r="E477">
        <v>43188.691405999998</v>
      </c>
      <c r="F477" s="34">
        <f t="shared" si="37"/>
        <v>-8.2262432467265572E-4</v>
      </c>
      <c r="G477" s="35">
        <f t="shared" si="38"/>
        <v>3.401635090640166E-3</v>
      </c>
      <c r="H477" s="35">
        <f t="shared" si="39"/>
        <v>-3.0152902677796933E-3</v>
      </c>
      <c r="I477" s="36">
        <f t="shared" si="40"/>
        <v>2.0867782135246911E-3</v>
      </c>
    </row>
    <row r="478" spans="1:9" x14ac:dyDescent="0.3">
      <c r="A478" s="1">
        <v>472</v>
      </c>
      <c r="B478" s="27">
        <v>33633</v>
      </c>
      <c r="C478" s="4">
        <v>376.946259</v>
      </c>
      <c r="D478" s="4">
        <v>316.09402499999999</v>
      </c>
      <c r="E478">
        <v>43392.359375</v>
      </c>
      <c r="F478" s="34">
        <f t="shared" si="37"/>
        <v>-7.9072865468383415E-3</v>
      </c>
      <c r="G478" s="35">
        <f t="shared" si="38"/>
        <v>-1.0415240100467222E-2</v>
      </c>
      <c r="H478" s="35">
        <f t="shared" si="39"/>
        <v>-2.5322530381289943E-2</v>
      </c>
      <c r="I478" s="36">
        <f t="shared" si="40"/>
        <v>4.7046863679640763E-3</v>
      </c>
    </row>
    <row r="479" spans="1:9" x14ac:dyDescent="0.3">
      <c r="A479" s="1">
        <v>473</v>
      </c>
      <c r="B479" s="27">
        <v>33935</v>
      </c>
      <c r="C479" s="4">
        <v>378.42858899999999</v>
      </c>
      <c r="D479" s="4">
        <v>321.46899400000001</v>
      </c>
      <c r="E479">
        <v>43602.25</v>
      </c>
      <c r="F479" s="34">
        <f t="shared" si="37"/>
        <v>8.9392023161555065E-3</v>
      </c>
      <c r="G479" s="35">
        <f t="shared" si="38"/>
        <v>3.9247584340631565E-3</v>
      </c>
      <c r="H479" s="35">
        <f t="shared" si="39"/>
        <v>1.6861380550451964E-2</v>
      </c>
      <c r="I479" s="36">
        <f t="shared" si="40"/>
        <v>4.8253801878228733E-3</v>
      </c>
    </row>
    <row r="480" spans="1:9" x14ac:dyDescent="0.3">
      <c r="A480" s="1">
        <v>474</v>
      </c>
      <c r="B480" s="27">
        <v>33980</v>
      </c>
      <c r="C480" s="4">
        <v>381.40261800000002</v>
      </c>
      <c r="D480" s="4">
        <v>322.79070999999999</v>
      </c>
      <c r="E480">
        <v>43604.699219000002</v>
      </c>
      <c r="F480" s="34">
        <f t="shared" si="37"/>
        <v>1.3251860880642995E-3</v>
      </c>
      <c r="G480" s="35">
        <f t="shared" si="38"/>
        <v>7.8281706779720541E-3</v>
      </c>
      <c r="H480" s="35">
        <f t="shared" si="39"/>
        <v>4.1030592044208102E-3</v>
      </c>
      <c r="I480" s="36">
        <f t="shared" si="40"/>
        <v>5.6170271350579741E-5</v>
      </c>
    </row>
    <row r="481" spans="1:9" x14ac:dyDescent="0.3">
      <c r="A481" s="1">
        <v>475</v>
      </c>
      <c r="B481" s="27">
        <v>33616.5</v>
      </c>
      <c r="C481" s="4">
        <v>386.61422700000003</v>
      </c>
      <c r="D481" s="4">
        <v>319.22695900000002</v>
      </c>
      <c r="E481">
        <v>43255.429687999997</v>
      </c>
      <c r="F481" s="34">
        <f t="shared" si="37"/>
        <v>-1.07550983821703E-2</v>
      </c>
      <c r="G481" s="35">
        <f t="shared" si="38"/>
        <v>1.3571809080170605E-2</v>
      </c>
      <c r="H481" s="35">
        <f t="shared" si="39"/>
        <v>-1.1101836522344201E-2</v>
      </c>
      <c r="I481" s="36">
        <f t="shared" si="40"/>
        <v>-8.0421573821720781E-3</v>
      </c>
    </row>
    <row r="482" spans="1:9" x14ac:dyDescent="0.3">
      <c r="A482" s="1">
        <v>476</v>
      </c>
      <c r="B482" s="27">
        <v>33774</v>
      </c>
      <c r="C482" s="4">
        <v>394.497772</v>
      </c>
      <c r="D482" s="4">
        <v>323.87744099999998</v>
      </c>
      <c r="E482">
        <v>43521.859375</v>
      </c>
      <c r="F482" s="34">
        <f t="shared" si="37"/>
        <v>4.674257848328818E-3</v>
      </c>
      <c r="G482" s="35">
        <f t="shared" si="38"/>
        <v>2.018612620720691E-2</v>
      </c>
      <c r="H482" s="35">
        <f t="shared" si="39"/>
        <v>1.4462855682901817E-2</v>
      </c>
      <c r="I482" s="36">
        <f t="shared" si="40"/>
        <v>6.1405588271558611E-3</v>
      </c>
    </row>
    <row r="483" spans="1:9" x14ac:dyDescent="0.3">
      <c r="A483" s="1">
        <v>477</v>
      </c>
      <c r="B483" s="27">
        <v>34470.699219000002</v>
      </c>
      <c r="C483" s="4">
        <v>395.45135499999998</v>
      </c>
      <c r="D483" s="4">
        <v>318.032532</v>
      </c>
      <c r="E483">
        <v>43535.109375</v>
      </c>
      <c r="F483" s="34">
        <f t="shared" si="37"/>
        <v>2.0418389469491528E-2</v>
      </c>
      <c r="G483" s="35">
        <f t="shared" si="38"/>
        <v>2.4142908210011411E-3</v>
      </c>
      <c r="H483" s="35">
        <f t="shared" si="39"/>
        <v>-1.821149627773971E-2</v>
      </c>
      <c r="I483" s="36">
        <f t="shared" si="40"/>
        <v>3.0439837941880903E-4</v>
      </c>
    </row>
    <row r="484" spans="1:9" x14ac:dyDescent="0.3">
      <c r="A484" s="1">
        <v>478</v>
      </c>
      <c r="B484" s="27">
        <v>35016.800780999998</v>
      </c>
      <c r="C484" s="4">
        <v>394.12957799999998</v>
      </c>
      <c r="D484" s="4">
        <v>315.62411500000002</v>
      </c>
      <c r="E484">
        <v>42852.359375</v>
      </c>
      <c r="F484" s="34">
        <f t="shared" si="37"/>
        <v>1.5718303450408078E-2</v>
      </c>
      <c r="G484" s="35">
        <f t="shared" si="38"/>
        <v>-3.3480500337714461E-3</v>
      </c>
      <c r="H484" s="35">
        <f t="shared" si="39"/>
        <v>-7.6016833691910047E-3</v>
      </c>
      <c r="I484" s="36">
        <f t="shared" si="40"/>
        <v>-1.5807019835627639E-2</v>
      </c>
    </row>
    <row r="485" spans="1:9" x14ac:dyDescent="0.3">
      <c r="A485" s="1">
        <v>479</v>
      </c>
      <c r="B485" s="27">
        <v>35522.398437999997</v>
      </c>
      <c r="C485" s="4">
        <v>389.23889200000002</v>
      </c>
      <c r="D485" s="4">
        <v>320.42141700000002</v>
      </c>
      <c r="E485">
        <v>43036.160155999998</v>
      </c>
      <c r="F485" s="34">
        <f t="shared" si="37"/>
        <v>1.4335470806852362E-2</v>
      </c>
      <c r="G485" s="35">
        <f t="shared" si="38"/>
        <v>-1.2486460025022466E-2</v>
      </c>
      <c r="H485" s="35">
        <f t="shared" si="39"/>
        <v>1.5085061464196681E-2</v>
      </c>
      <c r="I485" s="36">
        <f t="shared" si="40"/>
        <v>4.2799913790680143E-3</v>
      </c>
    </row>
    <row r="486" spans="1:9" x14ac:dyDescent="0.3">
      <c r="A486" s="1">
        <v>480</v>
      </c>
      <c r="B486" s="27">
        <v>35522.398437999997</v>
      </c>
      <c r="C486" s="4">
        <v>381.60400399999997</v>
      </c>
      <c r="D486" s="4">
        <v>314.30239899999998</v>
      </c>
      <c r="E486">
        <v>43100.121094000002</v>
      </c>
      <c r="F486" s="34">
        <f t="shared" si="37"/>
        <v>0</v>
      </c>
      <c r="G486" s="35">
        <f t="shared" si="38"/>
        <v>-1.9809841195370641E-2</v>
      </c>
      <c r="H486" s="35">
        <f t="shared" si="39"/>
        <v>-1.9281480920230833E-2</v>
      </c>
      <c r="I486" s="36">
        <f t="shared" si="40"/>
        <v>1.4851105440722152E-3</v>
      </c>
    </row>
    <row r="487" spans="1:9" x14ac:dyDescent="0.3">
      <c r="A487" s="1">
        <v>481</v>
      </c>
      <c r="B487" s="27">
        <v>35200</v>
      </c>
      <c r="C487" s="4">
        <v>386.24426299999999</v>
      </c>
      <c r="D487" s="4">
        <v>313.81286599999999</v>
      </c>
      <c r="E487">
        <v>42820.179687999997</v>
      </c>
      <c r="F487" s="34">
        <f t="shared" si="37"/>
        <v>-9.1173568326450415E-3</v>
      </c>
      <c r="G487" s="35">
        <f t="shared" si="38"/>
        <v>1.2086542845655994E-2</v>
      </c>
      <c r="H487" s="35">
        <f t="shared" si="39"/>
        <v>-1.5587365134853868E-3</v>
      </c>
      <c r="I487" s="36">
        <f t="shared" si="40"/>
        <v>-6.5163272017491293E-3</v>
      </c>
    </row>
    <row r="488" spans="1:9" x14ac:dyDescent="0.3">
      <c r="A488" s="1">
        <v>482</v>
      </c>
      <c r="B488" s="27">
        <v>34855</v>
      </c>
      <c r="C488" s="4">
        <v>387.66024800000002</v>
      </c>
      <c r="D488" s="4">
        <v>323.808899</v>
      </c>
      <c r="E488">
        <v>42544.140625</v>
      </c>
      <c r="F488" s="34">
        <f t="shared" si="37"/>
        <v>-9.8494836656893309E-3</v>
      </c>
      <c r="G488" s="35">
        <f t="shared" si="38"/>
        <v>3.6593315065619326E-3</v>
      </c>
      <c r="H488" s="35">
        <f t="shared" si="39"/>
        <v>3.1356683784312243E-2</v>
      </c>
      <c r="I488" s="36">
        <f t="shared" si="40"/>
        <v>-6.467339612906668E-3</v>
      </c>
    </row>
    <row r="489" spans="1:9" x14ac:dyDescent="0.3">
      <c r="A489" s="1">
        <v>483</v>
      </c>
      <c r="B489" s="27">
        <v>34638.601562999997</v>
      </c>
      <c r="C489" s="4">
        <v>374.03598</v>
      </c>
      <c r="D489" s="4">
        <v>326.84393299999999</v>
      </c>
      <c r="E489">
        <v>42294.519530999998</v>
      </c>
      <c r="F489" s="34">
        <f t="shared" si="37"/>
        <v>-6.2278866421825443E-3</v>
      </c>
      <c r="G489" s="35">
        <f t="shared" si="38"/>
        <v>-3.5777310537919348E-2</v>
      </c>
      <c r="H489" s="35">
        <f t="shared" si="39"/>
        <v>9.3292639748590988E-3</v>
      </c>
      <c r="I489" s="36">
        <f t="shared" si="40"/>
        <v>-5.884624153199236E-3</v>
      </c>
    </row>
    <row r="490" spans="1:9" x14ac:dyDescent="0.3">
      <c r="A490" s="1">
        <v>484</v>
      </c>
      <c r="B490" s="27">
        <v>34271.101562999997</v>
      </c>
      <c r="C490" s="4">
        <v>381.14471400000002</v>
      </c>
      <c r="D490" s="4">
        <v>339.101563</v>
      </c>
      <c r="E490">
        <v>42191.921875</v>
      </c>
      <c r="F490" s="34">
        <f t="shared" si="37"/>
        <v>-1.0666233272917238E-2</v>
      </c>
      <c r="G490" s="35">
        <f t="shared" si="38"/>
        <v>1.8827133786570641E-2</v>
      </c>
      <c r="H490" s="35">
        <f t="shared" si="39"/>
        <v>3.6816870525826627E-2</v>
      </c>
      <c r="I490" s="36">
        <f t="shared" si="40"/>
        <v>-2.4287377885941833E-3</v>
      </c>
    </row>
    <row r="491" spans="1:9" x14ac:dyDescent="0.3">
      <c r="A491" s="1">
        <v>485</v>
      </c>
      <c r="B491" s="27">
        <v>33719.5</v>
      </c>
      <c r="C491" s="4">
        <v>369.70187399999998</v>
      </c>
      <c r="D491" s="4">
        <v>333.54058800000001</v>
      </c>
      <c r="E491">
        <v>42216.03125</v>
      </c>
      <c r="F491" s="34">
        <f t="shared" si="37"/>
        <v>-1.6226173994798483E-2</v>
      </c>
      <c r="G491" s="35">
        <f t="shared" si="38"/>
        <v>-3.0482194877843361E-2</v>
      </c>
      <c r="H491" s="35">
        <f t="shared" si="39"/>
        <v>-1.653509728189877E-2</v>
      </c>
      <c r="I491" s="36">
        <f t="shared" si="40"/>
        <v>5.7125838888522106E-4</v>
      </c>
    </row>
    <row r="492" spans="1:9" x14ac:dyDescent="0.3">
      <c r="A492" s="1">
        <v>486</v>
      </c>
      <c r="B492" s="27">
        <v>33834.699219000002</v>
      </c>
      <c r="C492" s="4">
        <v>369.089539</v>
      </c>
      <c r="D492" s="4">
        <v>335.11685199999999</v>
      </c>
      <c r="E492">
        <v>41938.691405999998</v>
      </c>
      <c r="F492" s="34">
        <f t="shared" si="37"/>
        <v>3.4105749753075053E-3</v>
      </c>
      <c r="G492" s="35">
        <f t="shared" si="38"/>
        <v>-1.6576671830309093E-3</v>
      </c>
      <c r="H492" s="35">
        <f t="shared" si="39"/>
        <v>4.7147218457461318E-3</v>
      </c>
      <c r="I492" s="36">
        <f t="shared" si="40"/>
        <v>-6.5912129304419214E-3</v>
      </c>
    </row>
    <row r="493" spans="1:9" x14ac:dyDescent="0.3">
      <c r="A493" s="1">
        <v>487</v>
      </c>
      <c r="B493" s="27">
        <v>33635</v>
      </c>
      <c r="C493" s="4">
        <v>357.244843</v>
      </c>
      <c r="D493" s="4">
        <v>323.78930700000001</v>
      </c>
      <c r="E493">
        <v>41951.589844000002</v>
      </c>
      <c r="F493" s="34">
        <f t="shared" si="37"/>
        <v>-5.9196885262022738E-3</v>
      </c>
      <c r="G493" s="35">
        <f t="shared" si="38"/>
        <v>-3.2617886285184382E-2</v>
      </c>
      <c r="H493" s="35">
        <f t="shared" si="39"/>
        <v>-3.4386265717653602E-2</v>
      </c>
      <c r="I493" s="36">
        <f t="shared" si="40"/>
        <v>3.0750732765356172E-4</v>
      </c>
    </row>
    <row r="494" spans="1:9" x14ac:dyDescent="0.3">
      <c r="A494" s="1">
        <v>488</v>
      </c>
      <c r="B494" s="27">
        <v>33431.699219000002</v>
      </c>
      <c r="C494" s="4">
        <v>360.411743</v>
      </c>
      <c r="D494" s="4">
        <v>327.00058000000001</v>
      </c>
      <c r="E494">
        <v>42633.429687999997</v>
      </c>
      <c r="F494" s="34">
        <f t="shared" si="37"/>
        <v>-6.0626631718998366E-3</v>
      </c>
      <c r="G494" s="35">
        <f t="shared" si="38"/>
        <v>8.8257270078358884E-3</v>
      </c>
      <c r="H494" s="35">
        <f t="shared" si="39"/>
        <v>9.8689273690168739E-3</v>
      </c>
      <c r="I494" s="36">
        <f t="shared" si="40"/>
        <v>1.6122349251347808E-2</v>
      </c>
    </row>
    <row r="495" spans="1:9" x14ac:dyDescent="0.3">
      <c r="A495" s="1">
        <v>489</v>
      </c>
      <c r="B495" s="27">
        <v>33460</v>
      </c>
      <c r="C495" s="4">
        <v>365.04244999999997</v>
      </c>
      <c r="D495" s="4">
        <v>329.28173800000002</v>
      </c>
      <c r="E495">
        <v>43195.191405999998</v>
      </c>
      <c r="F495" s="34">
        <f t="shared" si="37"/>
        <v>8.4616725300848677E-4</v>
      </c>
      <c r="G495" s="35">
        <f t="shared" si="38"/>
        <v>1.2766539745670354E-2</v>
      </c>
      <c r="H495" s="35">
        <f t="shared" si="39"/>
        <v>6.9517862184706814E-3</v>
      </c>
      <c r="I495" s="36">
        <f t="shared" si="40"/>
        <v>1.3090499016026092E-2</v>
      </c>
    </row>
    <row r="496" spans="1:9" x14ac:dyDescent="0.3">
      <c r="A496" s="1">
        <v>490</v>
      </c>
      <c r="B496" s="27">
        <v>33533.800780999998</v>
      </c>
      <c r="C496" s="4">
        <v>362.90887500000002</v>
      </c>
      <c r="D496" s="4">
        <v>335.94906600000002</v>
      </c>
      <c r="E496">
        <v>44254.429687999997</v>
      </c>
      <c r="F496" s="34">
        <f t="shared" si="37"/>
        <v>2.2032131329457628E-3</v>
      </c>
      <c r="G496" s="35">
        <f t="shared" si="38"/>
        <v>-5.8618784969470608E-3</v>
      </c>
      <c r="H496" s="35">
        <f t="shared" si="39"/>
        <v>2.0045828372215968E-2</v>
      </c>
      <c r="I496" s="36">
        <f t="shared" si="40"/>
        <v>2.4226293378830428E-2</v>
      </c>
    </row>
    <row r="497" spans="1:9" x14ac:dyDescent="0.3">
      <c r="A497" s="1">
        <v>491</v>
      </c>
      <c r="B497" s="27">
        <v>33510</v>
      </c>
      <c r="C497" s="4">
        <v>377.10720800000001</v>
      </c>
      <c r="D497" s="4">
        <v>344.26113900000001</v>
      </c>
      <c r="E497">
        <v>44356.21875</v>
      </c>
      <c r="F497" s="34">
        <f t="shared" si="37"/>
        <v>-7.1000694240458135E-4</v>
      </c>
      <c r="G497" s="35">
        <f t="shared" si="38"/>
        <v>3.8377748681999287E-2</v>
      </c>
      <c r="H497" s="35">
        <f t="shared" si="39"/>
        <v>2.444093519708021E-2</v>
      </c>
      <c r="I497" s="36">
        <f t="shared" si="40"/>
        <v>2.2974463806942906E-3</v>
      </c>
    </row>
    <row r="498" spans="1:9" x14ac:dyDescent="0.3">
      <c r="A498" s="1">
        <v>492</v>
      </c>
      <c r="B498" s="27">
        <v>33891.199219000002</v>
      </c>
      <c r="C498" s="4">
        <v>365.55908199999999</v>
      </c>
      <c r="D498" s="4">
        <v>343.321259</v>
      </c>
      <c r="E498">
        <v>44401.160155999998</v>
      </c>
      <c r="F498" s="34">
        <f t="shared" si="37"/>
        <v>1.1311468873663641E-2</v>
      </c>
      <c r="G498" s="35">
        <f t="shared" si="38"/>
        <v>-3.1101605189747895E-2</v>
      </c>
      <c r="H498" s="35">
        <f t="shared" si="39"/>
        <v>-2.7338704077536345E-3</v>
      </c>
      <c r="I498" s="36">
        <f t="shared" si="40"/>
        <v>1.0126799685756629E-3</v>
      </c>
    </row>
    <row r="499" spans="1:9" x14ac:dyDescent="0.3">
      <c r="A499" s="1">
        <v>493</v>
      </c>
      <c r="B499" s="27">
        <v>33919.5</v>
      </c>
      <c r="C499" s="4">
        <v>373.50021400000003</v>
      </c>
      <c r="D499" s="4">
        <v>346.90454099999999</v>
      </c>
      <c r="E499">
        <v>45106.289062999997</v>
      </c>
      <c r="F499" s="34">
        <f t="shared" si="37"/>
        <v>8.3469962613863221E-4</v>
      </c>
      <c r="G499" s="35">
        <f t="shared" si="38"/>
        <v>2.1490664346029892E-2</v>
      </c>
      <c r="H499" s="35">
        <f t="shared" si="39"/>
        <v>1.038302014175955E-2</v>
      </c>
      <c r="I499" s="36">
        <f t="shared" si="40"/>
        <v>1.5756085123518501E-2</v>
      </c>
    </row>
    <row r="500" spans="1:9" x14ac:dyDescent="0.3">
      <c r="A500" s="1">
        <v>494</v>
      </c>
      <c r="B500" s="27">
        <v>33859.398437999997</v>
      </c>
      <c r="C500" s="4">
        <v>388.20562699999999</v>
      </c>
      <c r="D500" s="4">
        <v>346.96328699999998</v>
      </c>
      <c r="E500">
        <v>44649.429687999997</v>
      </c>
      <c r="F500" s="34">
        <f t="shared" si="37"/>
        <v>-1.7734598566070793E-3</v>
      </c>
      <c r="G500" s="35">
        <f t="shared" si="38"/>
        <v>3.861658820426387E-2</v>
      </c>
      <c r="H500" s="35">
        <f t="shared" si="39"/>
        <v>1.6932907902556302E-4</v>
      </c>
      <c r="I500" s="36">
        <f t="shared" si="40"/>
        <v>-1.0180149564159512E-2</v>
      </c>
    </row>
    <row r="501" spans="1:9" x14ac:dyDescent="0.3">
      <c r="A501" s="1">
        <v>495</v>
      </c>
      <c r="B501" s="27">
        <v>33850</v>
      </c>
      <c r="C501" s="4">
        <v>372.26599099999999</v>
      </c>
      <c r="D501" s="4">
        <v>345.99401899999998</v>
      </c>
      <c r="E501">
        <v>44505.640625</v>
      </c>
      <c r="F501" s="34">
        <f t="shared" si="37"/>
        <v>-2.7761103413027687E-4</v>
      </c>
      <c r="G501" s="35">
        <f t="shared" si="38"/>
        <v>-4.1926537404284668E-2</v>
      </c>
      <c r="H501" s="35">
        <f t="shared" si="39"/>
        <v>-2.7974844156348688E-3</v>
      </c>
      <c r="I501" s="36">
        <f t="shared" si="40"/>
        <v>-3.2255975384469521E-3</v>
      </c>
    </row>
    <row r="502" spans="1:9" x14ac:dyDescent="0.3">
      <c r="A502" s="1">
        <v>496</v>
      </c>
      <c r="B502" s="27">
        <v>33970</v>
      </c>
      <c r="C502" s="4">
        <v>372.97396900000001</v>
      </c>
      <c r="D502" s="4">
        <v>345.77862499999998</v>
      </c>
      <c r="E502">
        <v>44276.851562999997</v>
      </c>
      <c r="F502" s="34">
        <f t="shared" si="37"/>
        <v>3.5387828142085312E-3</v>
      </c>
      <c r="G502" s="35">
        <f t="shared" si="38"/>
        <v>1.9000006735643631E-3</v>
      </c>
      <c r="H502" s="35">
        <f t="shared" si="39"/>
        <v>-6.2273062928666059E-4</v>
      </c>
      <c r="I502" s="36">
        <f t="shared" si="40"/>
        <v>-5.1539343581325486E-3</v>
      </c>
    </row>
    <row r="503" spans="1:9" x14ac:dyDescent="0.3">
      <c r="A503" s="1">
        <v>497</v>
      </c>
      <c r="B503" s="27">
        <v>33940</v>
      </c>
      <c r="C503" s="4">
        <v>373.23232999999999</v>
      </c>
      <c r="D503" s="4">
        <v>344.60379</v>
      </c>
      <c r="E503">
        <v>44157.96875</v>
      </c>
      <c r="F503" s="34">
        <f t="shared" si="37"/>
        <v>-8.835223664122537E-4</v>
      </c>
      <c r="G503" s="35">
        <f t="shared" si="38"/>
        <v>6.9246536961711975E-4</v>
      </c>
      <c r="H503" s="35">
        <f t="shared" si="39"/>
        <v>-3.4034358596634236E-3</v>
      </c>
      <c r="I503" s="36">
        <f t="shared" si="40"/>
        <v>-2.6885989973609455E-3</v>
      </c>
    </row>
    <row r="504" spans="1:9" x14ac:dyDescent="0.3">
      <c r="A504" s="1">
        <v>498</v>
      </c>
      <c r="B504" s="27">
        <v>35379.800780999998</v>
      </c>
      <c r="C504" s="4">
        <v>372.23727400000001</v>
      </c>
      <c r="D504" s="4">
        <v>346.27795400000002</v>
      </c>
      <c r="E504">
        <v>44300.171875</v>
      </c>
      <c r="F504" s="34">
        <f t="shared" si="37"/>
        <v>4.1546798073074764E-2</v>
      </c>
      <c r="G504" s="35">
        <f t="shared" si="38"/>
        <v>-2.6696100971144387E-3</v>
      </c>
      <c r="H504" s="35">
        <f t="shared" si="39"/>
        <v>4.846465524576282E-3</v>
      </c>
      <c r="I504" s="36">
        <f t="shared" si="40"/>
        <v>3.2151534385393282E-3</v>
      </c>
    </row>
    <row r="505" spans="1:9" x14ac:dyDescent="0.3">
      <c r="A505" s="1">
        <v>499</v>
      </c>
      <c r="B505" s="27">
        <v>35290</v>
      </c>
      <c r="C505" s="4">
        <v>376.40878300000003</v>
      </c>
      <c r="D505" s="4">
        <v>345.67095899999998</v>
      </c>
      <c r="E505">
        <v>44261.511719000002</v>
      </c>
      <c r="F505" s="34">
        <f t="shared" si="37"/>
        <v>-2.5414201919763623E-3</v>
      </c>
      <c r="G505" s="35">
        <f t="shared" si="38"/>
        <v>1.1144257380647178E-2</v>
      </c>
      <c r="H505" s="35">
        <f t="shared" si="39"/>
        <v>-1.7544507818287203E-3</v>
      </c>
      <c r="I505" s="36">
        <f t="shared" si="40"/>
        <v>-8.7306737827940763E-4</v>
      </c>
    </row>
    <row r="506" spans="1:9" x14ac:dyDescent="0.3">
      <c r="A506" s="1">
        <v>500</v>
      </c>
      <c r="B506" s="27">
        <v>35019</v>
      </c>
      <c r="C506" s="4">
        <v>380.52282700000001</v>
      </c>
      <c r="D506" s="4">
        <v>349.32275399999997</v>
      </c>
      <c r="E506">
        <v>43657.480469000002</v>
      </c>
      <c r="F506" s="34">
        <f t="shared" si="37"/>
        <v>-7.7088663485427528E-3</v>
      </c>
      <c r="G506" s="35">
        <f t="shared" si="38"/>
        <v>1.0870425960020734E-2</v>
      </c>
      <c r="H506" s="35">
        <f t="shared" si="39"/>
        <v>1.050895436820525E-2</v>
      </c>
      <c r="I506" s="36">
        <f t="shared" si="40"/>
        <v>-1.3740847999083101E-2</v>
      </c>
    </row>
    <row r="507" spans="1:9" x14ac:dyDescent="0.3">
      <c r="A507" s="1">
        <v>501</v>
      </c>
      <c r="B507" s="27">
        <v>35019</v>
      </c>
      <c r="C507" s="4">
        <v>377.51858499999997</v>
      </c>
      <c r="D507" s="4">
        <v>349.76333599999998</v>
      </c>
      <c r="E507">
        <v>43541.019530999998</v>
      </c>
      <c r="F507" s="34">
        <f t="shared" si="37"/>
        <v>0</v>
      </c>
      <c r="G507" s="35">
        <f t="shared" si="38"/>
        <v>-7.9263683526088063E-3</v>
      </c>
      <c r="H507" s="35">
        <f t="shared" si="39"/>
        <v>1.2604515084281411E-3</v>
      </c>
      <c r="I507" s="36">
        <f t="shared" si="40"/>
        <v>-2.6711699684552359E-3</v>
      </c>
    </row>
    <row r="508" spans="1:9" x14ac:dyDescent="0.3">
      <c r="A508" s="1">
        <v>502</v>
      </c>
      <c r="B508" s="27">
        <v>35689.199219000002</v>
      </c>
      <c r="C508" s="4">
        <v>391.936981</v>
      </c>
      <c r="D508" s="4">
        <v>350.56616200000002</v>
      </c>
      <c r="E508">
        <v>44437.230469000002</v>
      </c>
      <c r="F508" s="34">
        <f t="shared" si="37"/>
        <v>1.8957328786471852E-2</v>
      </c>
      <c r="G508" s="35">
        <f t="shared" si="38"/>
        <v>3.7481264846329639E-2</v>
      </c>
      <c r="H508" s="35">
        <f t="shared" si="39"/>
        <v>2.2927103712333616E-3</v>
      </c>
      <c r="I508" s="36">
        <f t="shared" si="40"/>
        <v>2.0374170655261571E-2</v>
      </c>
    </row>
    <row r="509" spans="1:9" x14ac:dyDescent="0.3">
      <c r="A509" s="1">
        <v>503</v>
      </c>
      <c r="B509" s="27">
        <v>35490.601562999997</v>
      </c>
      <c r="C509" s="4">
        <v>408.20193499999999</v>
      </c>
      <c r="D509" s="4">
        <v>363.79302999999999</v>
      </c>
      <c r="E509">
        <v>44624.851562999997</v>
      </c>
      <c r="F509" s="34">
        <f t="shared" si="37"/>
        <v>-5.5801833990288974E-3</v>
      </c>
      <c r="G509" s="35">
        <f t="shared" si="38"/>
        <v>4.0660926576236357E-2</v>
      </c>
      <c r="H509" s="35">
        <f t="shared" si="39"/>
        <v>3.703565373916954E-2</v>
      </c>
      <c r="I509" s="36">
        <f t="shared" si="40"/>
        <v>4.2132716250959231E-3</v>
      </c>
    </row>
    <row r="510" spans="1:9" x14ac:dyDescent="0.3">
      <c r="A510" s="1">
        <v>504</v>
      </c>
      <c r="B510" s="27">
        <v>35880</v>
      </c>
      <c r="C510" s="4">
        <v>401.38021900000001</v>
      </c>
      <c r="D510" s="4">
        <v>363.69515999999999</v>
      </c>
      <c r="E510">
        <v>44495.300780999998</v>
      </c>
      <c r="F510" s="34">
        <f t="shared" si="37"/>
        <v>1.0912120464516537E-2</v>
      </c>
      <c r="G510" s="35">
        <f t="shared" si="38"/>
        <v>-1.6852835559872478E-2</v>
      </c>
      <c r="H510" s="35">
        <f t="shared" si="39"/>
        <v>-2.690627887456134E-4</v>
      </c>
      <c r="I510" s="36">
        <f t="shared" si="40"/>
        <v>-2.9073306058326216E-3</v>
      </c>
    </row>
    <row r="511" spans="1:9" x14ac:dyDescent="0.3">
      <c r="A511" s="1">
        <v>505</v>
      </c>
      <c r="B511" s="27">
        <v>36000</v>
      </c>
      <c r="C511" s="4">
        <v>402.289154</v>
      </c>
      <c r="D511" s="4">
        <v>362.29510499999998</v>
      </c>
      <c r="E511">
        <v>44157.808594000002</v>
      </c>
      <c r="F511" s="34">
        <f t="shared" si="37"/>
        <v>3.3389012655146303E-3</v>
      </c>
      <c r="G511" s="35">
        <f t="shared" si="38"/>
        <v>2.2619634841940088E-3</v>
      </c>
      <c r="H511" s="35">
        <f t="shared" si="39"/>
        <v>-3.8569573260464128E-3</v>
      </c>
      <c r="I511" s="36">
        <f t="shared" si="40"/>
        <v>-7.6138066616659155E-3</v>
      </c>
    </row>
    <row r="512" spans="1:9" x14ac:dyDescent="0.3">
      <c r="A512" s="1">
        <v>506</v>
      </c>
      <c r="B512" s="27">
        <v>35713.601562999997</v>
      </c>
      <c r="C512" s="4">
        <v>402.27957199999997</v>
      </c>
      <c r="D512" s="4">
        <v>360.88528400000001</v>
      </c>
      <c r="E512">
        <v>44470.910155999998</v>
      </c>
      <c r="F512" s="34">
        <f t="shared" si="37"/>
        <v>-7.9873260686600268E-3</v>
      </c>
      <c r="G512" s="35">
        <f t="shared" si="38"/>
        <v>-2.3818972054986669E-5</v>
      </c>
      <c r="H512" s="35">
        <f t="shared" si="39"/>
        <v>-3.8989519279879893E-3</v>
      </c>
      <c r="I512" s="36">
        <f t="shared" si="40"/>
        <v>7.065494547343093E-3</v>
      </c>
    </row>
    <row r="513" spans="1:9" x14ac:dyDescent="0.3">
      <c r="A513" s="1">
        <v>507</v>
      </c>
      <c r="B513" s="27">
        <v>35827.898437999997</v>
      </c>
      <c r="C513" s="4">
        <v>404.34619099999998</v>
      </c>
      <c r="D513" s="4">
        <v>359.95519999999999</v>
      </c>
      <c r="E513">
        <v>44572.171875</v>
      </c>
      <c r="F513" s="34">
        <f t="shared" si="37"/>
        <v>3.1952635111985993E-3</v>
      </c>
      <c r="G513" s="35">
        <f t="shared" si="38"/>
        <v>5.124119800434394E-3</v>
      </c>
      <c r="H513" s="35">
        <f t="shared" si="39"/>
        <v>-2.5805557173445787E-3</v>
      </c>
      <c r="I513" s="36">
        <f t="shared" si="40"/>
        <v>2.2744442430192371E-3</v>
      </c>
    </row>
    <row r="514" spans="1:9" x14ac:dyDescent="0.3">
      <c r="A514" s="1">
        <v>508</v>
      </c>
      <c r="B514" s="27">
        <v>35387.101562999997</v>
      </c>
      <c r="C514" s="4">
        <v>401.15057400000001</v>
      </c>
      <c r="D514" s="4">
        <v>360.15100100000001</v>
      </c>
      <c r="E514">
        <v>44660.328125</v>
      </c>
      <c r="F514" s="34">
        <f t="shared" si="37"/>
        <v>-1.2379484782229175E-2</v>
      </c>
      <c r="G514" s="35">
        <f t="shared" si="38"/>
        <v>-7.9345663557372284E-3</v>
      </c>
      <c r="H514" s="35">
        <f t="shared" si="39"/>
        <v>5.438114671238273E-4</v>
      </c>
      <c r="I514" s="36">
        <f t="shared" si="40"/>
        <v>1.9758782658977087E-3</v>
      </c>
    </row>
    <row r="515" spans="1:9" x14ac:dyDescent="0.3">
      <c r="A515" s="1">
        <v>509</v>
      </c>
      <c r="B515" s="27">
        <v>35539</v>
      </c>
      <c r="C515" s="4">
        <v>392.87463400000001</v>
      </c>
      <c r="D515" s="4">
        <v>355.588684</v>
      </c>
      <c r="E515">
        <v>44847.46875</v>
      </c>
      <c r="F515" s="34">
        <f t="shared" si="37"/>
        <v>4.2832939041511928E-3</v>
      </c>
      <c r="G515" s="35">
        <f t="shared" si="38"/>
        <v>-2.0846289561564112E-2</v>
      </c>
      <c r="H515" s="35">
        <f t="shared" si="39"/>
        <v>-1.2748709867788425E-2</v>
      </c>
      <c r="I515" s="36">
        <f t="shared" si="40"/>
        <v>4.1815552213189493E-3</v>
      </c>
    </row>
    <row r="516" spans="1:9" x14ac:dyDescent="0.3">
      <c r="A516" s="1">
        <v>510</v>
      </c>
      <c r="B516" s="27">
        <v>35093.601562999997</v>
      </c>
      <c r="C516" s="4">
        <v>401.14102200000002</v>
      </c>
      <c r="D516" s="4">
        <v>355.471161</v>
      </c>
      <c r="E516">
        <v>44773.238280999998</v>
      </c>
      <c r="F516" s="34">
        <f t="shared" si="37"/>
        <v>-1.2611862818314952E-2</v>
      </c>
      <c r="G516" s="35">
        <f t="shared" si="38"/>
        <v>2.0822477770319953E-2</v>
      </c>
      <c r="H516" s="35">
        <f t="shared" si="39"/>
        <v>-3.3055727136477336E-4</v>
      </c>
      <c r="I516" s="36">
        <f t="shared" si="40"/>
        <v>-1.6565476536418776E-3</v>
      </c>
    </row>
    <row r="517" spans="1:9" x14ac:dyDescent="0.3">
      <c r="A517" s="1">
        <v>511</v>
      </c>
      <c r="B517" s="27">
        <v>34943</v>
      </c>
      <c r="C517" s="4">
        <v>403.51379400000002</v>
      </c>
      <c r="D517" s="4">
        <v>351.01650999999998</v>
      </c>
      <c r="E517">
        <v>44453.328125</v>
      </c>
      <c r="F517" s="34">
        <f t="shared" si="37"/>
        <v>-4.3006597054133016E-3</v>
      </c>
      <c r="G517" s="35">
        <f t="shared" si="38"/>
        <v>5.8976317056863795E-3</v>
      </c>
      <c r="H517" s="35">
        <f t="shared" si="39"/>
        <v>-1.2610864193133441E-2</v>
      </c>
      <c r="I517" s="36">
        <f t="shared" si="40"/>
        <v>-7.1707685210270836E-3</v>
      </c>
    </row>
    <row r="518" spans="1:9" x14ac:dyDescent="0.3">
      <c r="A518" s="1">
        <v>512</v>
      </c>
      <c r="B518" s="27">
        <v>35275</v>
      </c>
      <c r="C518" s="4">
        <v>407.90533399999998</v>
      </c>
      <c r="D518" s="4">
        <v>353.434753</v>
      </c>
      <c r="E518">
        <v>45303.078125</v>
      </c>
      <c r="F518" s="34">
        <f t="shared" si="37"/>
        <v>9.4563352420354435E-3</v>
      </c>
      <c r="G518" s="35">
        <f t="shared" si="38"/>
        <v>1.0824449973220988E-2</v>
      </c>
      <c r="H518" s="35">
        <f t="shared" si="39"/>
        <v>6.8656346465811036E-3</v>
      </c>
      <c r="I518" s="36">
        <f t="shared" si="40"/>
        <v>1.8935147349401375E-2</v>
      </c>
    </row>
    <row r="519" spans="1:9" x14ac:dyDescent="0.3">
      <c r="A519" s="1">
        <v>513</v>
      </c>
      <c r="B519" s="27">
        <v>34791.5</v>
      </c>
      <c r="C519" s="4">
        <v>408.50808699999999</v>
      </c>
      <c r="D519" s="4">
        <v>360.43490600000001</v>
      </c>
      <c r="E519">
        <v>45817.761719000002</v>
      </c>
      <c r="F519" s="34">
        <f t="shared" si="37"/>
        <v>-1.3801393666603637E-2</v>
      </c>
      <c r="G519" s="35">
        <f t="shared" si="38"/>
        <v>1.4765879492219206E-3</v>
      </c>
      <c r="H519" s="35">
        <f t="shared" si="39"/>
        <v>1.9612480497024215E-2</v>
      </c>
      <c r="I519" s="36">
        <f t="shared" si="40"/>
        <v>1.1296846439858748E-2</v>
      </c>
    </row>
    <row r="520" spans="1:9" x14ac:dyDescent="0.3">
      <c r="A520" s="1">
        <v>514</v>
      </c>
      <c r="B520" s="27">
        <v>34790</v>
      </c>
      <c r="C520" s="4">
        <v>410.62249800000001</v>
      </c>
      <c r="D520" s="4">
        <v>369.79458599999998</v>
      </c>
      <c r="E520">
        <v>45902.679687999997</v>
      </c>
      <c r="F520" s="34">
        <f t="shared" ref="F520:F583" si="41">LN(B520/B519)</f>
        <v>-4.3114908423457681E-5</v>
      </c>
      <c r="G520" s="35">
        <f t="shared" ref="G520:G583" si="42">LN(C520/C519)</f>
        <v>5.1625851478980973E-3</v>
      </c>
      <c r="H520" s="35">
        <f t="shared" ref="H520:H583" si="43">LN(D520/D519)</f>
        <v>2.5636303959419269E-2</v>
      </c>
      <c r="I520" s="36">
        <f t="shared" ref="I520:I583" si="44">LN(E520/E519)</f>
        <v>1.8516699649586616E-3</v>
      </c>
    </row>
    <row r="521" spans="1:9" x14ac:dyDescent="0.3">
      <c r="A521" s="1">
        <v>515</v>
      </c>
      <c r="B521" s="27">
        <v>35492.5</v>
      </c>
      <c r="C521" s="4">
        <v>400.96881100000002</v>
      </c>
      <c r="D521" s="4">
        <v>365.80007899999998</v>
      </c>
      <c r="E521">
        <v>45637.320312999997</v>
      </c>
      <c r="F521" s="34">
        <f t="shared" si="41"/>
        <v>1.9991417391741307E-2</v>
      </c>
      <c r="G521" s="35">
        <f t="shared" si="42"/>
        <v>-2.379064984279014E-2</v>
      </c>
      <c r="H521" s="35">
        <f t="shared" si="43"/>
        <v>-1.086072657797028E-2</v>
      </c>
      <c r="I521" s="36">
        <f t="shared" si="44"/>
        <v>-5.7976866570718854E-3</v>
      </c>
    </row>
    <row r="522" spans="1:9" x14ac:dyDescent="0.3">
      <c r="A522" s="1">
        <v>516</v>
      </c>
      <c r="B522" s="27">
        <v>35277</v>
      </c>
      <c r="C522" s="4">
        <v>410.07714800000002</v>
      </c>
      <c r="D522" s="4">
        <v>362.14825400000001</v>
      </c>
      <c r="E522">
        <v>45604.441405999998</v>
      </c>
      <c r="F522" s="34">
        <f t="shared" si="41"/>
        <v>-6.0902130462036153E-3</v>
      </c>
      <c r="G522" s="35">
        <f t="shared" si="42"/>
        <v>2.246166162420158E-2</v>
      </c>
      <c r="H522" s="35">
        <f t="shared" si="43"/>
        <v>-1.0033282498719393E-2</v>
      </c>
      <c r="I522" s="36">
        <f t="shared" si="44"/>
        <v>-7.2069867577489555E-4</v>
      </c>
    </row>
    <row r="523" spans="1:9" x14ac:dyDescent="0.3">
      <c r="A523" s="1">
        <v>517</v>
      </c>
      <c r="B523" s="27">
        <v>35390</v>
      </c>
      <c r="C523" s="4">
        <v>413.980774</v>
      </c>
      <c r="D523" s="4">
        <v>357.97753899999998</v>
      </c>
      <c r="E523">
        <v>45476.429687999997</v>
      </c>
      <c r="F523" s="34">
        <f t="shared" si="41"/>
        <v>3.1981008479836461E-3</v>
      </c>
      <c r="G523" s="35">
        <f t="shared" si="42"/>
        <v>9.4742252823971952E-3</v>
      </c>
      <c r="H523" s="35">
        <f t="shared" si="43"/>
        <v>-1.1583425214044251E-2</v>
      </c>
      <c r="I523" s="36">
        <f t="shared" si="44"/>
        <v>-2.8109481332804324E-3</v>
      </c>
    </row>
    <row r="524" spans="1:9" x14ac:dyDescent="0.3">
      <c r="A524" s="1">
        <v>518</v>
      </c>
      <c r="B524" s="27">
        <v>34961.101562999997</v>
      </c>
      <c r="C524" s="4">
        <v>413.19619799999998</v>
      </c>
      <c r="D524" s="4">
        <v>359.59295700000001</v>
      </c>
      <c r="E524">
        <v>45141.621094000002</v>
      </c>
      <c r="F524" s="34">
        <f t="shared" si="41"/>
        <v>-1.2193234827312646E-2</v>
      </c>
      <c r="G524" s="35">
        <f t="shared" si="42"/>
        <v>-1.8969972855607095E-3</v>
      </c>
      <c r="H524" s="35">
        <f t="shared" si="43"/>
        <v>4.5024725459543932E-3</v>
      </c>
      <c r="I524" s="36">
        <f t="shared" si="44"/>
        <v>-7.3894795708232342E-3</v>
      </c>
    </row>
    <row r="525" spans="1:9" x14ac:dyDescent="0.3">
      <c r="A525" s="1">
        <v>519</v>
      </c>
      <c r="B525" s="27">
        <v>34667.5</v>
      </c>
      <c r="C525" s="4">
        <v>419.82653800000003</v>
      </c>
      <c r="D525" s="4">
        <v>357.07681300000002</v>
      </c>
      <c r="E525">
        <v>44134.390625</v>
      </c>
      <c r="F525" s="34">
        <f t="shared" si="41"/>
        <v>-8.433410884177199E-3</v>
      </c>
      <c r="G525" s="35">
        <f t="shared" si="42"/>
        <v>1.5919085357677963E-2</v>
      </c>
      <c r="H525" s="35">
        <f t="shared" si="43"/>
        <v>-7.0217956544391912E-3</v>
      </c>
      <c r="I525" s="36">
        <f t="shared" si="44"/>
        <v>-2.2565372019964898E-2</v>
      </c>
    </row>
    <row r="526" spans="1:9" x14ac:dyDescent="0.3">
      <c r="A526" s="1">
        <v>520</v>
      </c>
      <c r="B526" s="27">
        <v>34680</v>
      </c>
      <c r="C526" s="4">
        <v>426.50473</v>
      </c>
      <c r="D526" s="4">
        <v>358.59429899999998</v>
      </c>
      <c r="E526">
        <v>44717.941405999998</v>
      </c>
      <c r="F526" s="34">
        <f t="shared" si="41"/>
        <v>3.6050326645881197E-4</v>
      </c>
      <c r="G526" s="35">
        <f t="shared" si="42"/>
        <v>1.5781835934320965E-2</v>
      </c>
      <c r="H526" s="35">
        <f t="shared" si="43"/>
        <v>4.2407420077378143E-3</v>
      </c>
      <c r="I526" s="36">
        <f t="shared" si="44"/>
        <v>1.3135483518992221E-2</v>
      </c>
    </row>
    <row r="527" spans="1:9" x14ac:dyDescent="0.3">
      <c r="A527" s="1">
        <v>521</v>
      </c>
      <c r="B527" s="27">
        <v>34860</v>
      </c>
      <c r="C527" s="4">
        <v>427.317993</v>
      </c>
      <c r="D527" s="4">
        <v>353.76763899999997</v>
      </c>
      <c r="E527">
        <v>45132.601562999997</v>
      </c>
      <c r="F527" s="34">
        <f t="shared" si="41"/>
        <v>5.1768881795337274E-3</v>
      </c>
      <c r="G527" s="35">
        <f t="shared" si="42"/>
        <v>1.9049932123772941E-3</v>
      </c>
      <c r="H527" s="35">
        <f t="shared" si="43"/>
        <v>-1.3551352496378693E-2</v>
      </c>
      <c r="I527" s="36">
        <f t="shared" si="44"/>
        <v>9.2300633290788182E-3</v>
      </c>
    </row>
    <row r="528" spans="1:9" x14ac:dyDescent="0.3">
      <c r="A528" s="1">
        <v>522</v>
      </c>
      <c r="B528" s="27">
        <v>35175</v>
      </c>
      <c r="C528" s="4">
        <v>417.19546500000001</v>
      </c>
      <c r="D528" s="4">
        <v>355.53970299999997</v>
      </c>
      <c r="E528">
        <v>44862.761719000002</v>
      </c>
      <c r="F528" s="34">
        <f t="shared" si="41"/>
        <v>8.9955629085777828E-3</v>
      </c>
      <c r="G528" s="35">
        <f t="shared" si="42"/>
        <v>-2.3973597371002995E-2</v>
      </c>
      <c r="H528" s="35">
        <f t="shared" si="43"/>
        <v>4.9966145332829351E-3</v>
      </c>
      <c r="I528" s="36">
        <f t="shared" si="44"/>
        <v>-5.9967678957321855E-3</v>
      </c>
    </row>
    <row r="529" spans="1:9" x14ac:dyDescent="0.3">
      <c r="A529" s="1">
        <v>523</v>
      </c>
      <c r="B529" s="27">
        <v>37900</v>
      </c>
      <c r="C529" s="4">
        <v>407.32171599999998</v>
      </c>
      <c r="D529" s="4">
        <v>356.22503699999999</v>
      </c>
      <c r="E529">
        <v>44108.308594000002</v>
      </c>
      <c r="F529" s="34">
        <f t="shared" si="41"/>
        <v>7.4615509087927828E-2</v>
      </c>
      <c r="G529" s="35">
        <f t="shared" si="42"/>
        <v>-2.3951522782798246E-2</v>
      </c>
      <c r="H529" s="35">
        <f t="shared" si="43"/>
        <v>1.9257324036412202E-3</v>
      </c>
      <c r="I529" s="36">
        <f t="shared" si="44"/>
        <v>-1.6959922060842139E-2</v>
      </c>
    </row>
    <row r="530" spans="1:9" x14ac:dyDescent="0.3">
      <c r="A530" s="1">
        <v>524</v>
      </c>
      <c r="B530" s="27">
        <v>38305</v>
      </c>
      <c r="C530" s="4">
        <v>412.69869999999997</v>
      </c>
      <c r="D530" s="4">
        <v>354.629211</v>
      </c>
      <c r="E530">
        <v>45047.070312999997</v>
      </c>
      <c r="F530" s="34">
        <f t="shared" si="41"/>
        <v>1.0629323880403614E-2</v>
      </c>
      <c r="G530" s="35">
        <f t="shared" si="42"/>
        <v>1.3114456567240373E-2</v>
      </c>
      <c r="H530" s="35">
        <f t="shared" si="43"/>
        <v>-4.4898899749381115E-3</v>
      </c>
      <c r="I530" s="36">
        <f t="shared" si="44"/>
        <v>2.1059781842635315E-2</v>
      </c>
    </row>
    <row r="531" spans="1:9" x14ac:dyDescent="0.3">
      <c r="A531" s="1">
        <v>525</v>
      </c>
      <c r="B531" s="27">
        <v>38014.398437999997</v>
      </c>
      <c r="C531" s="4">
        <v>415.80816700000003</v>
      </c>
      <c r="D531" s="4">
        <v>357.73278800000003</v>
      </c>
      <c r="E531">
        <v>44782.859375</v>
      </c>
      <c r="F531" s="34">
        <f t="shared" si="41"/>
        <v>-7.6154417460907444E-3</v>
      </c>
      <c r="G531" s="35">
        <f t="shared" si="42"/>
        <v>7.506230119969399E-3</v>
      </c>
      <c r="H531" s="35">
        <f t="shared" si="43"/>
        <v>8.713537895380024E-3</v>
      </c>
      <c r="I531" s="36">
        <f t="shared" si="44"/>
        <v>-5.8824870687505205E-3</v>
      </c>
    </row>
    <row r="532" spans="1:9" x14ac:dyDescent="0.3">
      <c r="A532" s="1">
        <v>526</v>
      </c>
      <c r="B532" s="27">
        <v>38311</v>
      </c>
      <c r="C532" s="4">
        <v>394.90295400000002</v>
      </c>
      <c r="D532" s="4">
        <v>354.82501200000002</v>
      </c>
      <c r="E532">
        <v>44493.148437999997</v>
      </c>
      <c r="F532" s="34">
        <f t="shared" si="41"/>
        <v>7.7720669944009637E-3</v>
      </c>
      <c r="G532" s="35">
        <f t="shared" si="42"/>
        <v>-5.1583968246255142E-2</v>
      </c>
      <c r="H532" s="35">
        <f t="shared" si="43"/>
        <v>-8.1615614644175195E-3</v>
      </c>
      <c r="I532" s="36">
        <f t="shared" si="44"/>
        <v>-6.4902533404791359E-3</v>
      </c>
    </row>
    <row r="533" spans="1:9" x14ac:dyDescent="0.3">
      <c r="A533" s="1">
        <v>527</v>
      </c>
      <c r="B533" s="27">
        <v>39120</v>
      </c>
      <c r="C533" s="4">
        <v>382.35983299999998</v>
      </c>
      <c r="D533" s="4">
        <v>343.96740699999998</v>
      </c>
      <c r="E533">
        <v>44399.328125</v>
      </c>
      <c r="F533" s="34">
        <f t="shared" si="41"/>
        <v>2.0896783949522085E-2</v>
      </c>
      <c r="G533" s="35">
        <f t="shared" si="42"/>
        <v>-3.2277912205105432E-2</v>
      </c>
      <c r="H533" s="35">
        <f t="shared" si="43"/>
        <v>-3.1077838213223696E-2</v>
      </c>
      <c r="I533" s="36">
        <f t="shared" si="44"/>
        <v>-2.1108726286958161E-3</v>
      </c>
    </row>
    <row r="534" spans="1:9" x14ac:dyDescent="0.3">
      <c r="A534" s="1">
        <v>528</v>
      </c>
      <c r="B534" s="27">
        <v>39885</v>
      </c>
      <c r="C534" s="4">
        <v>394.13754299999999</v>
      </c>
      <c r="D534" s="4">
        <v>336.360229</v>
      </c>
      <c r="E534">
        <v>44290.53125</v>
      </c>
      <c r="F534" s="34">
        <f t="shared" si="41"/>
        <v>1.9366468196476267E-2</v>
      </c>
      <c r="G534" s="35">
        <f t="shared" si="42"/>
        <v>3.0337805853163098E-2</v>
      </c>
      <c r="H534" s="35">
        <f t="shared" si="43"/>
        <v>-2.2364210008949205E-2</v>
      </c>
      <c r="I534" s="36">
        <f t="shared" si="44"/>
        <v>-2.4534243337407296E-3</v>
      </c>
    </row>
    <row r="535" spans="1:9" x14ac:dyDescent="0.3">
      <c r="A535" s="1">
        <v>529</v>
      </c>
      <c r="B535" s="27">
        <v>40130</v>
      </c>
      <c r="C535" s="4">
        <v>377.15505999999999</v>
      </c>
      <c r="D535" s="4">
        <v>324.31802399999998</v>
      </c>
      <c r="E535">
        <v>45027.410155999998</v>
      </c>
      <c r="F535" s="34">
        <f t="shared" si="41"/>
        <v>6.1238709157325497E-3</v>
      </c>
      <c r="G535" s="35">
        <f t="shared" si="42"/>
        <v>-4.4043539665253456E-2</v>
      </c>
      <c r="H535" s="35">
        <f t="shared" si="43"/>
        <v>-3.6458105845410808E-2</v>
      </c>
      <c r="I535" s="36">
        <f t="shared" si="44"/>
        <v>1.650050624298614E-2</v>
      </c>
    </row>
    <row r="536" spans="1:9" x14ac:dyDescent="0.3">
      <c r="A536" s="1">
        <v>530</v>
      </c>
      <c r="B536" s="27">
        <v>40298.101562999997</v>
      </c>
      <c r="C536" s="4">
        <v>380.762024</v>
      </c>
      <c r="D536" s="4">
        <v>324.87603799999999</v>
      </c>
      <c r="E536">
        <v>45338.371094000002</v>
      </c>
      <c r="F536" s="34">
        <f t="shared" si="41"/>
        <v>4.1801759463471668E-3</v>
      </c>
      <c r="G536" s="35">
        <f t="shared" si="42"/>
        <v>9.5181684311884014E-3</v>
      </c>
      <c r="H536" s="35">
        <f t="shared" si="43"/>
        <v>1.7190980943533585E-3</v>
      </c>
      <c r="I536" s="36">
        <f t="shared" si="44"/>
        <v>6.8822990542059233E-3</v>
      </c>
    </row>
    <row r="537" spans="1:9" x14ac:dyDescent="0.3">
      <c r="A537" s="1">
        <v>531</v>
      </c>
      <c r="B537" s="27">
        <v>39974.898437999997</v>
      </c>
      <c r="C537" s="4">
        <v>378.714539</v>
      </c>
      <c r="D537" s="4">
        <v>327.52926600000001</v>
      </c>
      <c r="E537">
        <v>45005.121094000002</v>
      </c>
      <c r="F537" s="34">
        <f t="shared" si="41"/>
        <v>-8.052642146280797E-3</v>
      </c>
      <c r="G537" s="35">
        <f t="shared" si="42"/>
        <v>-5.3918450156835223E-3</v>
      </c>
      <c r="H537" s="35">
        <f t="shared" si="43"/>
        <v>8.133724883258019E-3</v>
      </c>
      <c r="I537" s="36">
        <f t="shared" si="44"/>
        <v>-7.3774325830737739E-3</v>
      </c>
    </row>
    <row r="538" spans="1:9" x14ac:dyDescent="0.3">
      <c r="A538" s="1">
        <v>532</v>
      </c>
      <c r="B538" s="27">
        <v>39566.898437999997</v>
      </c>
      <c r="C538" s="4">
        <v>384.06286599999999</v>
      </c>
      <c r="D538" s="4">
        <v>329.046783</v>
      </c>
      <c r="E538">
        <v>44999.679687999997</v>
      </c>
      <c r="F538" s="34">
        <f t="shared" si="41"/>
        <v>-1.0258847406328384E-2</v>
      </c>
      <c r="G538" s="35">
        <f t="shared" si="42"/>
        <v>1.4023526692080658E-2</v>
      </c>
      <c r="H538" s="35">
        <f t="shared" si="43"/>
        <v>4.6225253098079733E-3</v>
      </c>
      <c r="I538" s="36">
        <f t="shared" si="44"/>
        <v>-1.2091368370041407E-4</v>
      </c>
    </row>
    <row r="539" spans="1:9" x14ac:dyDescent="0.3">
      <c r="A539" s="1">
        <v>533</v>
      </c>
      <c r="B539" s="27">
        <v>39566.898437999997</v>
      </c>
      <c r="C539" s="4">
        <v>382.618134</v>
      </c>
      <c r="D539" s="4">
        <v>330.56433099999998</v>
      </c>
      <c r="E539">
        <v>45016.960937999997</v>
      </c>
      <c r="F539" s="34">
        <f t="shared" si="41"/>
        <v>0</v>
      </c>
      <c r="G539" s="35">
        <f t="shared" si="42"/>
        <v>-3.7688000878152309E-3</v>
      </c>
      <c r="H539" s="35">
        <f t="shared" si="43"/>
        <v>4.6013496295105516E-3</v>
      </c>
      <c r="I539" s="36">
        <f t="shared" si="44"/>
        <v>3.839567904806915E-4</v>
      </c>
    </row>
    <row r="540" spans="1:9" x14ac:dyDescent="0.3">
      <c r="A540" s="1">
        <v>534</v>
      </c>
      <c r="B540" s="27">
        <v>40173.101562999997</v>
      </c>
      <c r="C540" s="4">
        <v>387.24887100000001</v>
      </c>
      <c r="D540" s="4">
        <v>335.01895100000002</v>
      </c>
      <c r="E540">
        <v>44974.109375</v>
      </c>
      <c r="F540" s="34">
        <f t="shared" si="41"/>
        <v>1.5204785646570839E-2</v>
      </c>
      <c r="G540" s="35">
        <f t="shared" si="42"/>
        <v>1.2030111221439981E-2</v>
      </c>
      <c r="H540" s="35">
        <f t="shared" si="43"/>
        <v>1.3385812520134013E-2</v>
      </c>
      <c r="I540" s="36">
        <f t="shared" si="44"/>
        <v>-9.5235151865004808E-4</v>
      </c>
    </row>
    <row r="541" spans="1:9" x14ac:dyDescent="0.3">
      <c r="A541" s="1">
        <v>535</v>
      </c>
      <c r="B541" s="27">
        <v>40425.398437999997</v>
      </c>
      <c r="C541" s="4">
        <v>392.625854</v>
      </c>
      <c r="D541" s="4">
        <v>330.03561400000001</v>
      </c>
      <c r="E541">
        <v>44901.5</v>
      </c>
      <c r="F541" s="34">
        <f t="shared" si="41"/>
        <v>6.2606053230460723E-3</v>
      </c>
      <c r="G541" s="35">
        <f t="shared" si="42"/>
        <v>1.378956909649647E-2</v>
      </c>
      <c r="H541" s="35">
        <f t="shared" si="43"/>
        <v>-1.4986530524717529E-2</v>
      </c>
      <c r="I541" s="36">
        <f t="shared" si="44"/>
        <v>-1.6157752098012526E-3</v>
      </c>
    </row>
    <row r="542" spans="1:9" x14ac:dyDescent="0.3">
      <c r="A542" s="1">
        <v>536</v>
      </c>
      <c r="B542" s="27">
        <v>40430</v>
      </c>
      <c r="C542" s="4">
        <v>395.57269300000002</v>
      </c>
      <c r="D542" s="4">
        <v>333.48184199999997</v>
      </c>
      <c r="E542">
        <v>44774.539062999997</v>
      </c>
      <c r="F542" s="34">
        <f t="shared" si="41"/>
        <v>1.1382201049948896E-4</v>
      </c>
      <c r="G542" s="35">
        <f t="shared" si="42"/>
        <v>7.4774376114408181E-3</v>
      </c>
      <c r="H542" s="35">
        <f t="shared" si="43"/>
        <v>1.0387847247214985E-2</v>
      </c>
      <c r="I542" s="36">
        <f t="shared" si="44"/>
        <v>-2.8315483858142401E-3</v>
      </c>
    </row>
    <row r="543" spans="1:9" x14ac:dyDescent="0.3">
      <c r="A543" s="1">
        <v>537</v>
      </c>
      <c r="B543" s="27">
        <v>39600</v>
      </c>
      <c r="C543" s="4">
        <v>392.35797100000002</v>
      </c>
      <c r="D543" s="4">
        <v>335.95883199999997</v>
      </c>
      <c r="E543">
        <v>44802.539062999997</v>
      </c>
      <c r="F543" s="34">
        <f t="shared" si="41"/>
        <v>-2.0742965392244624E-2</v>
      </c>
      <c r="G543" s="35">
        <f t="shared" si="42"/>
        <v>-8.1599561598937366E-3</v>
      </c>
      <c r="H543" s="35">
        <f t="shared" si="43"/>
        <v>7.4002115502381782E-3</v>
      </c>
      <c r="I543" s="36">
        <f t="shared" si="44"/>
        <v>6.2515995157922668E-4</v>
      </c>
    </row>
    <row r="544" spans="1:9" x14ac:dyDescent="0.3">
      <c r="A544" s="1">
        <v>538</v>
      </c>
      <c r="B544" s="27">
        <v>38341.300780999998</v>
      </c>
      <c r="C544" s="4">
        <v>396.48159800000002</v>
      </c>
      <c r="D544" s="4">
        <v>334.71545400000002</v>
      </c>
      <c r="E544">
        <v>43818.070312999997</v>
      </c>
      <c r="F544" s="34">
        <f t="shared" si="41"/>
        <v>-3.2301453701508033E-2</v>
      </c>
      <c r="G544" s="35">
        <f t="shared" si="42"/>
        <v>1.0455014489312315E-2</v>
      </c>
      <c r="H544" s="35">
        <f t="shared" si="43"/>
        <v>-3.7078488037071869E-3</v>
      </c>
      <c r="I544" s="36">
        <f t="shared" si="44"/>
        <v>-2.2218516803410505E-2</v>
      </c>
    </row>
    <row r="545" spans="1:9" x14ac:dyDescent="0.3">
      <c r="A545" s="1">
        <v>539</v>
      </c>
      <c r="B545" s="27">
        <v>37712.601562999997</v>
      </c>
      <c r="C545" s="4">
        <v>402.10736100000003</v>
      </c>
      <c r="D545" s="4">
        <v>333.75598100000002</v>
      </c>
      <c r="E545">
        <v>43045.679687999997</v>
      </c>
      <c r="F545" s="34">
        <f t="shared" si="41"/>
        <v>-1.653336699152682E-2</v>
      </c>
      <c r="G545" s="35">
        <f t="shared" si="42"/>
        <v>1.4089491226338617E-2</v>
      </c>
      <c r="H545" s="35">
        <f t="shared" si="43"/>
        <v>-2.8706496901797405E-3</v>
      </c>
      <c r="I545" s="36">
        <f t="shared" si="44"/>
        <v>-1.7784426366596353E-2</v>
      </c>
    </row>
    <row r="546" spans="1:9" x14ac:dyDescent="0.3">
      <c r="A546" s="1">
        <v>540</v>
      </c>
      <c r="B546" s="27">
        <v>38084.398437999997</v>
      </c>
      <c r="C546" s="4">
        <v>401.89688100000001</v>
      </c>
      <c r="D546" s="4">
        <v>335.68469199999998</v>
      </c>
      <c r="E546">
        <v>42737.28125</v>
      </c>
      <c r="F546" s="34">
        <f t="shared" si="41"/>
        <v>9.8104108851324676E-3</v>
      </c>
      <c r="G546" s="35">
        <f t="shared" si="42"/>
        <v>-5.2357933904621529E-4</v>
      </c>
      <c r="H546" s="35">
        <f t="shared" si="43"/>
        <v>5.7621725548203965E-3</v>
      </c>
      <c r="I546" s="36">
        <f t="shared" si="44"/>
        <v>-7.1902336616975482E-3</v>
      </c>
    </row>
    <row r="547" spans="1:9" x14ac:dyDescent="0.3">
      <c r="A547" s="1">
        <v>541</v>
      </c>
      <c r="B547" s="27">
        <v>36808.898437999997</v>
      </c>
      <c r="C547" s="4">
        <v>401.83944700000001</v>
      </c>
      <c r="D547" s="4">
        <v>337.75048800000002</v>
      </c>
      <c r="E547">
        <v>41607.421875</v>
      </c>
      <c r="F547" s="34">
        <f t="shared" si="41"/>
        <v>-3.4065087127421498E-2</v>
      </c>
      <c r="G547" s="35">
        <f t="shared" si="42"/>
        <v>-1.429175168445443E-4</v>
      </c>
      <c r="H547" s="35">
        <f t="shared" si="43"/>
        <v>6.1351189869682477E-3</v>
      </c>
      <c r="I547" s="36">
        <f t="shared" si="44"/>
        <v>-2.6793074685935961E-2</v>
      </c>
    </row>
    <row r="548" spans="1:9" x14ac:dyDescent="0.3">
      <c r="A548" s="1">
        <v>542</v>
      </c>
      <c r="B548" s="27">
        <v>36323</v>
      </c>
      <c r="C548" s="4">
        <v>399.62933299999997</v>
      </c>
      <c r="D548" s="4">
        <v>322.97671500000001</v>
      </c>
      <c r="E548">
        <v>41324.308594000002</v>
      </c>
      <c r="F548" s="34">
        <f t="shared" si="41"/>
        <v>-1.3288471884195008E-2</v>
      </c>
      <c r="G548" s="35">
        <f t="shared" si="42"/>
        <v>-5.5151732850000044E-3</v>
      </c>
      <c r="H548" s="35">
        <f t="shared" si="43"/>
        <v>-4.4727190854145386E-2</v>
      </c>
      <c r="I548" s="36">
        <f t="shared" si="44"/>
        <v>-6.8276491812603105E-3</v>
      </c>
    </row>
    <row r="549" spans="1:9" x14ac:dyDescent="0.3">
      <c r="A549" s="1">
        <v>543</v>
      </c>
      <c r="B549" s="27">
        <v>37754.398437999997</v>
      </c>
      <c r="C549" s="4">
        <v>394.12795999999997</v>
      </c>
      <c r="D549" s="4">
        <v>327.029968</v>
      </c>
      <c r="E549">
        <v>42167.238280999998</v>
      </c>
      <c r="F549" s="34">
        <f t="shared" si="41"/>
        <v>3.8650834380689607E-2</v>
      </c>
      <c r="G549" s="35">
        <f t="shared" si="42"/>
        <v>-1.3861821841556521E-2</v>
      </c>
      <c r="H549" s="35">
        <f t="shared" si="43"/>
        <v>1.2471581117240399E-2</v>
      </c>
      <c r="I549" s="36">
        <f t="shared" si="44"/>
        <v>2.0192662849293493E-2</v>
      </c>
    </row>
    <row r="550" spans="1:9" x14ac:dyDescent="0.3">
      <c r="A550" s="1">
        <v>544</v>
      </c>
      <c r="B550" s="27">
        <v>37104.199219000002</v>
      </c>
      <c r="C550" s="4">
        <v>396.44329800000003</v>
      </c>
      <c r="D550" s="4">
        <v>326.58938599999999</v>
      </c>
      <c r="E550">
        <v>42472.25</v>
      </c>
      <c r="F550" s="34">
        <f t="shared" si="41"/>
        <v>-1.7371834117367247E-2</v>
      </c>
      <c r="G550" s="35">
        <f t="shared" si="42"/>
        <v>5.8573963986897617E-3</v>
      </c>
      <c r="H550" s="35">
        <f t="shared" si="43"/>
        <v>-1.3481304188192368E-3</v>
      </c>
      <c r="I550" s="36">
        <f t="shared" si="44"/>
        <v>7.2073460162464425E-3</v>
      </c>
    </row>
    <row r="551" spans="1:9" x14ac:dyDescent="0.3">
      <c r="A551" s="1">
        <v>545</v>
      </c>
      <c r="B551" s="27">
        <v>38399.300780999998</v>
      </c>
      <c r="C551" s="4">
        <v>394.12795999999997</v>
      </c>
      <c r="D551" s="4">
        <v>320.97946200000001</v>
      </c>
      <c r="E551">
        <v>43404.761719000002</v>
      </c>
      <c r="F551" s="34">
        <f t="shared" si="41"/>
        <v>3.4309100895535148E-2</v>
      </c>
      <c r="G551" s="35">
        <f t="shared" si="42"/>
        <v>-5.8573963986898051E-3</v>
      </c>
      <c r="H551" s="35">
        <f t="shared" si="43"/>
        <v>-1.7326541764489226E-2</v>
      </c>
      <c r="I551" s="36">
        <f t="shared" si="44"/>
        <v>2.1718230620561024E-2</v>
      </c>
    </row>
    <row r="552" spans="1:9" x14ac:dyDescent="0.3">
      <c r="A552" s="1">
        <v>546</v>
      </c>
      <c r="B552" s="27">
        <v>38163.101562999997</v>
      </c>
      <c r="C552" s="4">
        <v>392.52062999999998</v>
      </c>
      <c r="D552" s="4">
        <v>328.802032</v>
      </c>
      <c r="E552">
        <v>42344.859375</v>
      </c>
      <c r="F552" s="34">
        <f t="shared" si="41"/>
        <v>-6.1701294661596108E-3</v>
      </c>
      <c r="G552" s="35">
        <f t="shared" si="42"/>
        <v>-4.0865317939040753E-3</v>
      </c>
      <c r="H552" s="35">
        <f t="shared" si="43"/>
        <v>2.4078703436876733E-2</v>
      </c>
      <c r="I552" s="36">
        <f t="shared" si="44"/>
        <v>-2.4722122682663421E-2</v>
      </c>
    </row>
    <row r="553" spans="1:9" x14ac:dyDescent="0.3">
      <c r="A553" s="1">
        <v>547</v>
      </c>
      <c r="B553" s="27">
        <v>38153.199219000002</v>
      </c>
      <c r="C553" s="4">
        <v>392.61627199999998</v>
      </c>
      <c r="D553" s="4">
        <v>325.12081899999998</v>
      </c>
      <c r="E553">
        <v>41388.78125</v>
      </c>
      <c r="F553" s="34">
        <f t="shared" si="41"/>
        <v>-2.595079676058151E-4</v>
      </c>
      <c r="G553" s="35">
        <f t="shared" si="42"/>
        <v>2.4363139786045957E-4</v>
      </c>
      <c r="H553" s="35">
        <f t="shared" si="43"/>
        <v>-1.1258979194818825E-2</v>
      </c>
      <c r="I553" s="36">
        <f t="shared" si="44"/>
        <v>-2.2837169624000564E-2</v>
      </c>
    </row>
    <row r="554" spans="1:9" x14ac:dyDescent="0.3">
      <c r="A554" s="1">
        <v>548</v>
      </c>
      <c r="B554" s="27">
        <v>38308.101562999997</v>
      </c>
      <c r="C554" s="4">
        <v>387.29669200000001</v>
      </c>
      <c r="D554" s="4">
        <v>326.05090300000001</v>
      </c>
      <c r="E554">
        <v>38730.558594000002</v>
      </c>
      <c r="F554" s="34">
        <f t="shared" si="41"/>
        <v>4.0517897115273692E-3</v>
      </c>
      <c r="G554" s="35">
        <f t="shared" si="42"/>
        <v>-1.364168244693798E-2</v>
      </c>
      <c r="H554" s="35">
        <f t="shared" si="43"/>
        <v>2.8566493324830781E-3</v>
      </c>
      <c r="I554" s="36">
        <f t="shared" si="44"/>
        <v>-6.6380943613174356E-2</v>
      </c>
    </row>
    <row r="555" spans="1:9" x14ac:dyDescent="0.3">
      <c r="A555" s="1">
        <v>549</v>
      </c>
      <c r="B555" s="27">
        <v>39203.398437999997</v>
      </c>
      <c r="C555" s="4">
        <v>390.922821</v>
      </c>
      <c r="D555" s="4">
        <v>328.018799</v>
      </c>
      <c r="E555">
        <v>39565.441405999998</v>
      </c>
      <c r="F555" s="34">
        <f t="shared" si="41"/>
        <v>2.3102035008039146E-2</v>
      </c>
      <c r="G555" s="35">
        <f t="shared" si="42"/>
        <v>9.3191064531554704E-3</v>
      </c>
      <c r="H555" s="35">
        <f t="shared" si="43"/>
        <v>6.0174074168935238E-3</v>
      </c>
      <c r="I555" s="36">
        <f t="shared" si="44"/>
        <v>2.1327129279909783E-2</v>
      </c>
    </row>
    <row r="556" spans="1:9" x14ac:dyDescent="0.3">
      <c r="A556" s="1">
        <v>550</v>
      </c>
      <c r="B556" s="27">
        <v>39020</v>
      </c>
      <c r="C556" s="4">
        <v>396.65380900000002</v>
      </c>
      <c r="D556" s="4">
        <v>331.67062399999998</v>
      </c>
      <c r="E556">
        <v>38678.550780999998</v>
      </c>
      <c r="F556" s="34">
        <f t="shared" si="41"/>
        <v>-4.6891026906093125E-3</v>
      </c>
      <c r="G556" s="35">
        <f t="shared" si="42"/>
        <v>1.4553730871556834E-2</v>
      </c>
      <c r="H556" s="35">
        <f t="shared" si="43"/>
        <v>1.1071459311444711E-2</v>
      </c>
      <c r="I556" s="36">
        <f t="shared" si="44"/>
        <v>-2.2670842474524774E-2</v>
      </c>
    </row>
    <row r="557" spans="1:9" x14ac:dyDescent="0.3">
      <c r="A557" s="1">
        <v>551</v>
      </c>
      <c r="B557" s="27">
        <v>36950</v>
      </c>
      <c r="C557" s="4">
        <v>392.20489500000002</v>
      </c>
      <c r="D557" s="4">
        <v>330.59368899999998</v>
      </c>
      <c r="E557">
        <v>36636.699219000002</v>
      </c>
      <c r="F557" s="34">
        <f t="shared" si="41"/>
        <v>-5.4508687800754393E-2</v>
      </c>
      <c r="G557" s="35">
        <f t="shared" si="42"/>
        <v>-1.1279488064932824E-2</v>
      </c>
      <c r="H557" s="35">
        <f t="shared" si="43"/>
        <v>-3.2522844070567896E-3</v>
      </c>
      <c r="I557" s="36">
        <f t="shared" si="44"/>
        <v>-5.4234754070899831E-2</v>
      </c>
    </row>
    <row r="558" spans="1:9" x14ac:dyDescent="0.3">
      <c r="A558" s="1">
        <v>552</v>
      </c>
      <c r="B558" s="27">
        <v>38774</v>
      </c>
      <c r="C558" s="4">
        <v>390.32961999999998</v>
      </c>
      <c r="D558" s="4">
        <v>329.14468399999998</v>
      </c>
      <c r="E558">
        <v>38085.050780999998</v>
      </c>
      <c r="F558" s="34">
        <f t="shared" si="41"/>
        <v>4.8184271522804842E-2</v>
      </c>
      <c r="G558" s="35">
        <f t="shared" si="42"/>
        <v>-4.7928329136575128E-3</v>
      </c>
      <c r="H558" s="35">
        <f t="shared" si="43"/>
        <v>-4.3926725782483618E-3</v>
      </c>
      <c r="I558" s="36">
        <f t="shared" si="44"/>
        <v>3.8771388253270041E-2</v>
      </c>
    </row>
    <row r="559" spans="1:9" x14ac:dyDescent="0.3">
      <c r="A559" s="1">
        <v>553</v>
      </c>
      <c r="B559" s="27">
        <v>42020.601562999997</v>
      </c>
      <c r="C559" s="4">
        <v>384.990906</v>
      </c>
      <c r="D559" s="4">
        <v>328.52789300000001</v>
      </c>
      <c r="E559">
        <v>36862.839844000002</v>
      </c>
      <c r="F559" s="34">
        <f t="shared" si="41"/>
        <v>8.041009250873947E-2</v>
      </c>
      <c r="G559" s="35">
        <f t="shared" si="42"/>
        <v>-1.3771848418218104E-2</v>
      </c>
      <c r="H559" s="35">
        <f t="shared" si="43"/>
        <v>-1.8756785744200608E-3</v>
      </c>
      <c r="I559" s="36">
        <f t="shared" si="44"/>
        <v>-3.2617843850916518E-2</v>
      </c>
    </row>
    <row r="560" spans="1:9" x14ac:dyDescent="0.3">
      <c r="A560" s="1">
        <v>554</v>
      </c>
      <c r="B560" s="27">
        <v>42957</v>
      </c>
      <c r="C560" s="4">
        <v>381.16387900000001</v>
      </c>
      <c r="D560" s="4">
        <v>324.993561</v>
      </c>
      <c r="E560">
        <v>35532.738280999998</v>
      </c>
      <c r="F560" s="34">
        <f t="shared" si="41"/>
        <v>2.2039603934223665E-2</v>
      </c>
      <c r="G560" s="35">
        <f t="shared" si="42"/>
        <v>-9.9903019727561604E-3</v>
      </c>
      <c r="H560" s="35">
        <f t="shared" si="43"/>
        <v>-1.0816374692088756E-2</v>
      </c>
      <c r="I560" s="36">
        <f t="shared" si="44"/>
        <v>-3.6749516722443774E-2</v>
      </c>
    </row>
    <row r="561" spans="1:9" x14ac:dyDescent="0.3">
      <c r="A561" s="1">
        <v>555</v>
      </c>
      <c r="B561" s="27">
        <v>45777.199219000002</v>
      </c>
      <c r="C561" s="4">
        <v>379.09726000000001</v>
      </c>
      <c r="D561" s="4">
        <v>323.28024299999998</v>
      </c>
      <c r="E561">
        <v>35143.628905999998</v>
      </c>
      <c r="F561" s="34">
        <f t="shared" si="41"/>
        <v>6.3586518153559646E-2</v>
      </c>
      <c r="G561" s="35">
        <f t="shared" si="42"/>
        <v>-5.4366164050837305E-3</v>
      </c>
      <c r="H561" s="35">
        <f t="shared" si="43"/>
        <v>-5.2857973854645449E-3</v>
      </c>
      <c r="I561" s="36">
        <f t="shared" si="44"/>
        <v>-1.1011129234339216E-2</v>
      </c>
    </row>
    <row r="562" spans="1:9" x14ac:dyDescent="0.3">
      <c r="A562" s="1">
        <v>556</v>
      </c>
      <c r="B562" s="27">
        <v>45378</v>
      </c>
      <c r="C562" s="4">
        <v>370.95523100000003</v>
      </c>
      <c r="D562" s="4">
        <v>313.26458700000001</v>
      </c>
      <c r="E562">
        <v>34269.511719000002</v>
      </c>
      <c r="F562" s="34">
        <f t="shared" si="41"/>
        <v>-8.7587274115911336E-3</v>
      </c>
      <c r="G562" s="35">
        <f t="shared" si="42"/>
        <v>-2.1711410684693129E-2</v>
      </c>
      <c r="H562" s="35">
        <f t="shared" si="43"/>
        <v>-3.1471413108265123E-2</v>
      </c>
      <c r="I562" s="36">
        <f t="shared" si="44"/>
        <v>-2.5187259650267673E-2</v>
      </c>
    </row>
    <row r="563" spans="1:9" x14ac:dyDescent="0.3">
      <c r="A563" s="1">
        <v>557</v>
      </c>
      <c r="B563" s="27">
        <v>47747.699219000002</v>
      </c>
      <c r="C563" s="4">
        <v>378.02569599999998</v>
      </c>
      <c r="D563" s="4">
        <v>316.02551299999999</v>
      </c>
      <c r="E563">
        <v>32964.21875</v>
      </c>
      <c r="F563" s="34">
        <f t="shared" si="41"/>
        <v>5.0903475768622676E-2</v>
      </c>
      <c r="G563" s="35">
        <f t="shared" si="42"/>
        <v>1.8880787978054564E-2</v>
      </c>
      <c r="H563" s="35">
        <f t="shared" si="43"/>
        <v>8.7747883375513189E-3</v>
      </c>
      <c r="I563" s="36">
        <f t="shared" si="44"/>
        <v>-3.8833394819185754E-2</v>
      </c>
    </row>
    <row r="564" spans="1:9" x14ac:dyDescent="0.3">
      <c r="A564" s="1">
        <v>558</v>
      </c>
      <c r="B564" s="27">
        <v>48026.699219000002</v>
      </c>
      <c r="C564" s="4">
        <v>366.544556</v>
      </c>
      <c r="D564" s="4">
        <v>319.71649200000002</v>
      </c>
      <c r="E564">
        <v>34371.53125</v>
      </c>
      <c r="F564" s="34">
        <f t="shared" si="41"/>
        <v>5.8262081258484023E-3</v>
      </c>
      <c r="G564" s="35">
        <f t="shared" si="42"/>
        <v>-3.0842086584169627E-2</v>
      </c>
      <c r="H564" s="35">
        <f t="shared" si="43"/>
        <v>1.1611692927435843E-2</v>
      </c>
      <c r="I564" s="36">
        <f t="shared" si="44"/>
        <v>4.1805948897861454E-2</v>
      </c>
    </row>
    <row r="565" spans="1:9" x14ac:dyDescent="0.3">
      <c r="A565" s="1">
        <v>559</v>
      </c>
      <c r="B565" s="27">
        <v>45550</v>
      </c>
      <c r="C565" s="4">
        <v>362.73666400000002</v>
      </c>
      <c r="D565" s="4">
        <v>305.42245500000001</v>
      </c>
      <c r="E565">
        <v>35536.699219000002</v>
      </c>
      <c r="F565" s="34">
        <f t="shared" si="41"/>
        <v>-5.2946466290451202E-2</v>
      </c>
      <c r="G565" s="35">
        <f t="shared" si="42"/>
        <v>-1.0442958083743866E-2</v>
      </c>
      <c r="H565" s="35">
        <f t="shared" si="43"/>
        <v>-4.5738723992853267E-2</v>
      </c>
      <c r="I565" s="36">
        <f t="shared" si="44"/>
        <v>3.3337301510704222E-2</v>
      </c>
    </row>
    <row r="566" spans="1:9" x14ac:dyDescent="0.3">
      <c r="A566" s="1">
        <v>560</v>
      </c>
      <c r="B566" s="27">
        <v>44762.398437999997</v>
      </c>
      <c r="C566" s="4">
        <v>358.392944</v>
      </c>
      <c r="D566" s="4">
        <v>307.33160400000003</v>
      </c>
      <c r="E566">
        <v>35706.570312999997</v>
      </c>
      <c r="F566" s="34">
        <f t="shared" si="41"/>
        <v>-1.7442157292116515E-2</v>
      </c>
      <c r="G566" s="35">
        <f t="shared" si="42"/>
        <v>-1.2047134070222579E-2</v>
      </c>
      <c r="H566" s="35">
        <f t="shared" si="43"/>
        <v>6.2313913704222608E-3</v>
      </c>
      <c r="I566" s="36">
        <f t="shared" si="44"/>
        <v>4.7687709179585142E-3</v>
      </c>
    </row>
    <row r="567" spans="1:9" x14ac:dyDescent="0.3">
      <c r="A567" s="1">
        <v>561</v>
      </c>
      <c r="B567" s="27">
        <v>44742.300780999998</v>
      </c>
      <c r="C567" s="4">
        <v>361.11016799999999</v>
      </c>
      <c r="D567" s="4">
        <v>303.55248999999998</v>
      </c>
      <c r="E567">
        <v>33799.488280999998</v>
      </c>
      <c r="F567" s="34">
        <f t="shared" si="41"/>
        <v>-4.4908608180659271E-4</v>
      </c>
      <c r="G567" s="35">
        <f t="shared" si="42"/>
        <v>7.5530928848714877E-3</v>
      </c>
      <c r="H567" s="35">
        <f t="shared" si="43"/>
        <v>-1.2372763499834684E-2</v>
      </c>
      <c r="I567" s="36">
        <f t="shared" si="44"/>
        <v>-5.4889051473840995E-2</v>
      </c>
    </row>
    <row r="568" spans="1:9" x14ac:dyDescent="0.3">
      <c r="A568" s="1">
        <v>562</v>
      </c>
      <c r="B568" s="27">
        <v>47309.398437999997</v>
      </c>
      <c r="C568" s="4">
        <v>351.37991299999999</v>
      </c>
      <c r="D568" s="4">
        <v>299.99856599999998</v>
      </c>
      <c r="E568">
        <v>34199.96875</v>
      </c>
      <c r="F568" s="34">
        <f t="shared" si="41"/>
        <v>5.578959390571625E-2</v>
      </c>
      <c r="G568" s="35">
        <f t="shared" si="42"/>
        <v>-2.7315074950164223E-2</v>
      </c>
      <c r="H568" s="35">
        <f t="shared" si="43"/>
        <v>-1.1776849829994019E-2</v>
      </c>
      <c r="I568" s="36">
        <f t="shared" si="44"/>
        <v>1.1779067566468713E-2</v>
      </c>
    </row>
    <row r="569" spans="1:9" x14ac:dyDescent="0.3">
      <c r="A569" s="1">
        <v>563</v>
      </c>
      <c r="B569" s="27">
        <v>46432.800780999998</v>
      </c>
      <c r="C569" s="4">
        <v>350.260468</v>
      </c>
      <c r="D569" s="4">
        <v>299.98876999999999</v>
      </c>
      <c r="E569">
        <v>34554.53125</v>
      </c>
      <c r="F569" s="34">
        <f t="shared" si="41"/>
        <v>-1.8702851367504159E-2</v>
      </c>
      <c r="G569" s="35">
        <f t="shared" si="42"/>
        <v>-3.1909393477673486E-3</v>
      </c>
      <c r="H569" s="35">
        <f t="shared" si="43"/>
        <v>-3.2654022553736449E-5</v>
      </c>
      <c r="I569" s="36">
        <f t="shared" si="44"/>
        <v>1.0313961795263459E-2</v>
      </c>
    </row>
    <row r="570" spans="1:9" x14ac:dyDescent="0.3">
      <c r="A570" s="1">
        <v>564</v>
      </c>
      <c r="B570" s="27">
        <v>46377.898437999997</v>
      </c>
      <c r="C570" s="4">
        <v>350.68145800000002</v>
      </c>
      <c r="D570" s="4">
        <v>300.40976000000001</v>
      </c>
      <c r="E570">
        <v>33691.878905999998</v>
      </c>
      <c r="F570" s="34">
        <f t="shared" si="41"/>
        <v>-1.1831038849197772E-3</v>
      </c>
      <c r="G570" s="35">
        <f t="shared" si="42"/>
        <v>1.2012123544196738E-3</v>
      </c>
      <c r="H570" s="35">
        <f t="shared" si="43"/>
        <v>1.4023687532833502E-3</v>
      </c>
      <c r="I570" s="36">
        <f t="shared" si="44"/>
        <v>-2.5281865821035695E-2</v>
      </c>
    </row>
    <row r="571" spans="1:9" x14ac:dyDescent="0.3">
      <c r="A571" s="1">
        <v>565</v>
      </c>
      <c r="B571" s="27">
        <v>46550</v>
      </c>
      <c r="C571" s="4">
        <v>371.10830700000002</v>
      </c>
      <c r="D571" s="4">
        <v>302.87692299999998</v>
      </c>
      <c r="E571">
        <v>33590.621094000002</v>
      </c>
      <c r="F571" s="34">
        <f t="shared" si="41"/>
        <v>3.7039847377396021E-3</v>
      </c>
      <c r="G571" s="35">
        <f t="shared" si="42"/>
        <v>5.6615668269622443E-2</v>
      </c>
      <c r="H571" s="35">
        <f t="shared" si="43"/>
        <v>8.1791188949692107E-3</v>
      </c>
      <c r="I571" s="36">
        <f t="shared" si="44"/>
        <v>-3.0099324028400772E-3</v>
      </c>
    </row>
    <row r="572" spans="1:9" x14ac:dyDescent="0.3">
      <c r="A572" s="1">
        <v>566</v>
      </c>
      <c r="B572" s="27">
        <v>47166.101562999997</v>
      </c>
      <c r="C572" s="4">
        <v>379.31729100000001</v>
      </c>
      <c r="D572" s="4">
        <v>305.15811200000002</v>
      </c>
      <c r="E572">
        <v>33075.410155999998</v>
      </c>
      <c r="F572" s="34">
        <f t="shared" si="41"/>
        <v>1.3148443623867309E-2</v>
      </c>
      <c r="G572" s="35">
        <f t="shared" si="42"/>
        <v>2.1879081644766686E-2</v>
      </c>
      <c r="H572" s="35">
        <f t="shared" si="43"/>
        <v>7.5035140140763453E-3</v>
      </c>
      <c r="I572" s="36">
        <f t="shared" si="44"/>
        <v>-1.5456783186617216E-2</v>
      </c>
    </row>
    <row r="573" spans="1:9" x14ac:dyDescent="0.3">
      <c r="A573" s="1">
        <v>567</v>
      </c>
      <c r="B573" s="27">
        <v>49247.699219000002</v>
      </c>
      <c r="C573" s="4">
        <v>369.90277099999997</v>
      </c>
      <c r="D573" s="4">
        <v>303.68954500000001</v>
      </c>
      <c r="E573">
        <v>34381.558594000002</v>
      </c>
      <c r="F573" s="34">
        <f t="shared" si="41"/>
        <v>4.3187202814428845E-2</v>
      </c>
      <c r="G573" s="35">
        <f t="shared" si="42"/>
        <v>-2.5132844238532192E-2</v>
      </c>
      <c r="H573" s="35">
        <f t="shared" si="43"/>
        <v>-4.8240962452391458E-3</v>
      </c>
      <c r="I573" s="36">
        <f t="shared" si="44"/>
        <v>3.8730222539191783E-2</v>
      </c>
    </row>
    <row r="574" spans="1:9" x14ac:dyDescent="0.3">
      <c r="A574" s="1">
        <v>568</v>
      </c>
      <c r="B574" s="27">
        <v>48431.699219000002</v>
      </c>
      <c r="C574" s="4">
        <v>382.43637100000001</v>
      </c>
      <c r="D574" s="4">
        <v>304.35528599999998</v>
      </c>
      <c r="E574">
        <v>34526.308594000002</v>
      </c>
      <c r="F574" s="34">
        <f t="shared" si="41"/>
        <v>-1.6708108278730323E-2</v>
      </c>
      <c r="G574" s="35">
        <f t="shared" si="42"/>
        <v>3.3322099077852205E-2</v>
      </c>
      <c r="H574" s="35">
        <f t="shared" si="43"/>
        <v>2.1897769114519786E-3</v>
      </c>
      <c r="I574" s="36">
        <f t="shared" si="44"/>
        <v>4.201268122724749E-3</v>
      </c>
    </row>
    <row r="575" spans="1:9" x14ac:dyDescent="0.3">
      <c r="A575" s="1">
        <v>569</v>
      </c>
      <c r="B575" s="27">
        <v>48966.699219000002</v>
      </c>
      <c r="C575" s="4">
        <v>373.74899299999998</v>
      </c>
      <c r="D575" s="4">
        <v>304.55111699999998</v>
      </c>
      <c r="E575">
        <v>34567.78125</v>
      </c>
      <c r="F575" s="34">
        <f t="shared" si="41"/>
        <v>1.0985917414427502E-2</v>
      </c>
      <c r="G575" s="35">
        <f t="shared" si="42"/>
        <v>-2.2977858715157735E-2</v>
      </c>
      <c r="H575" s="35">
        <f t="shared" si="43"/>
        <v>6.4322203145510863E-4</v>
      </c>
      <c r="I575" s="36">
        <f t="shared" si="44"/>
        <v>1.2004691305507191E-3</v>
      </c>
    </row>
    <row r="576" spans="1:9" x14ac:dyDescent="0.3">
      <c r="A576" s="1">
        <v>570</v>
      </c>
      <c r="B576" s="27">
        <v>51312.199219000002</v>
      </c>
      <c r="C576" s="4">
        <v>378.714539</v>
      </c>
      <c r="D576" s="4">
        <v>305.85324100000003</v>
      </c>
      <c r="E576">
        <v>34613.671875</v>
      </c>
      <c r="F576" s="34">
        <f t="shared" si="41"/>
        <v>4.6788066149310956E-2</v>
      </c>
      <c r="G576" s="35">
        <f t="shared" si="42"/>
        <v>1.3198295650828265E-2</v>
      </c>
      <c r="H576" s="35">
        <f t="shared" si="43"/>
        <v>4.2664373479372533E-3</v>
      </c>
      <c r="I576" s="36">
        <f t="shared" si="44"/>
        <v>1.3266744093378346E-3</v>
      </c>
    </row>
    <row r="577" spans="1:9" x14ac:dyDescent="0.3">
      <c r="A577" s="1">
        <v>571</v>
      </c>
      <c r="B577" s="27">
        <v>53634.101562999997</v>
      </c>
      <c r="C577" s="4">
        <v>375.24151599999999</v>
      </c>
      <c r="D577" s="4">
        <v>308.71206699999999</v>
      </c>
      <c r="E577">
        <v>34746.390625</v>
      </c>
      <c r="F577" s="34">
        <f t="shared" si="41"/>
        <v>4.4256563516502846E-2</v>
      </c>
      <c r="G577" s="35">
        <f t="shared" si="42"/>
        <v>-9.2128647071094815E-3</v>
      </c>
      <c r="H577" s="35">
        <f t="shared" si="43"/>
        <v>9.3036381451034687E-3</v>
      </c>
      <c r="I577" s="36">
        <f t="shared" si="44"/>
        <v>3.8269547977578828E-3</v>
      </c>
    </row>
    <row r="578" spans="1:9" x14ac:dyDescent="0.3">
      <c r="A578" s="1">
        <v>572</v>
      </c>
      <c r="B578" s="27">
        <v>55434.398437999997</v>
      </c>
      <c r="C578" s="4">
        <v>378.83892800000001</v>
      </c>
      <c r="D578" s="4">
        <v>314.03805499999999</v>
      </c>
      <c r="E578">
        <v>33855.238280999998</v>
      </c>
      <c r="F578" s="34">
        <f t="shared" si="41"/>
        <v>3.301522253844065E-2</v>
      </c>
      <c r="G578" s="35">
        <f t="shared" si="42"/>
        <v>9.5412613326584777E-3</v>
      </c>
      <c r="H578" s="35">
        <f t="shared" si="43"/>
        <v>1.7105152357076749E-2</v>
      </c>
      <c r="I578" s="36">
        <f t="shared" si="44"/>
        <v>-2.5981962516041693E-2</v>
      </c>
    </row>
    <row r="579" spans="1:9" x14ac:dyDescent="0.3">
      <c r="A579" s="1">
        <v>573</v>
      </c>
      <c r="B579" s="27">
        <v>58181.101562999997</v>
      </c>
      <c r="C579" s="4">
        <v>366.64022799999998</v>
      </c>
      <c r="D579" s="4">
        <v>315.271637</v>
      </c>
      <c r="E579">
        <v>33759.75</v>
      </c>
      <c r="F579" s="34">
        <f t="shared" si="41"/>
        <v>4.8360275092231918E-2</v>
      </c>
      <c r="G579" s="35">
        <f t="shared" si="42"/>
        <v>-3.2730060599178962E-2</v>
      </c>
      <c r="H579" s="35">
        <f t="shared" si="43"/>
        <v>3.9204340745870635E-3</v>
      </c>
      <c r="I579" s="36">
        <f t="shared" si="44"/>
        <v>-2.8244727066764597E-3</v>
      </c>
    </row>
    <row r="580" spans="1:9" x14ac:dyDescent="0.3">
      <c r="A580" s="1">
        <v>574</v>
      </c>
      <c r="B580" s="27">
        <v>56208.398437999997</v>
      </c>
      <c r="C580" s="4">
        <v>378.52319299999999</v>
      </c>
      <c r="D580" s="4">
        <v>320.60742199999999</v>
      </c>
      <c r="E580">
        <v>34743.101562999997</v>
      </c>
      <c r="F580" s="34">
        <f t="shared" si="41"/>
        <v>-3.4494402460139385E-2</v>
      </c>
      <c r="G580" s="35">
        <f t="shared" si="42"/>
        <v>3.1896285025945263E-2</v>
      </c>
      <c r="H580" s="35">
        <f t="shared" si="43"/>
        <v>1.6782783343669783E-2</v>
      </c>
      <c r="I580" s="36">
        <f t="shared" si="44"/>
        <v>2.8711771644128182E-2</v>
      </c>
    </row>
    <row r="581" spans="1:9" x14ac:dyDescent="0.3">
      <c r="A581" s="1">
        <v>575</v>
      </c>
      <c r="B581" s="27">
        <v>57850.601562999997</v>
      </c>
      <c r="C581" s="4">
        <v>382.33111600000001</v>
      </c>
      <c r="D581" s="4">
        <v>319.785034</v>
      </c>
      <c r="E581">
        <v>34477.058594000002</v>
      </c>
      <c r="F581" s="34">
        <f t="shared" si="41"/>
        <v>2.8797668121174576E-2</v>
      </c>
      <c r="G581" s="35">
        <f t="shared" si="42"/>
        <v>1.0009681877518871E-2</v>
      </c>
      <c r="H581" s="35">
        <f t="shared" si="43"/>
        <v>-2.5683889445499877E-3</v>
      </c>
      <c r="I581" s="36">
        <f t="shared" si="44"/>
        <v>-7.6869015732112201E-3</v>
      </c>
    </row>
    <row r="582" spans="1:9" x14ac:dyDescent="0.3">
      <c r="A582" s="1">
        <v>576</v>
      </c>
      <c r="B582" s="27">
        <v>56943.601562999997</v>
      </c>
      <c r="C582" s="4">
        <v>373.66284200000001</v>
      </c>
      <c r="D582" s="4">
        <v>320.264771</v>
      </c>
      <c r="E582">
        <v>33892.28125</v>
      </c>
      <c r="F582" s="34">
        <f t="shared" si="41"/>
        <v>-1.5802520508283208E-2</v>
      </c>
      <c r="G582" s="35">
        <f t="shared" si="42"/>
        <v>-2.293313011989485E-2</v>
      </c>
      <c r="H582" s="35">
        <f t="shared" si="43"/>
        <v>1.4990617482906273E-3</v>
      </c>
      <c r="I582" s="36">
        <f t="shared" si="44"/>
        <v>-1.710683783769254E-2</v>
      </c>
    </row>
    <row r="583" spans="1:9" x14ac:dyDescent="0.3">
      <c r="A583" s="1">
        <v>577</v>
      </c>
      <c r="B583" s="27">
        <v>57791.699219000002</v>
      </c>
      <c r="C583" s="4">
        <v>369.42440800000003</v>
      </c>
      <c r="D583" s="4">
        <v>319.60882600000002</v>
      </c>
      <c r="E583">
        <v>34223.851562999997</v>
      </c>
      <c r="F583" s="34">
        <f t="shared" si="41"/>
        <v>1.4783821490786995E-2</v>
      </c>
      <c r="G583" s="35">
        <f t="shared" si="42"/>
        <v>-1.140775854959575E-2</v>
      </c>
      <c r="H583" s="35">
        <f t="shared" si="43"/>
        <v>-2.050233773811307E-3</v>
      </c>
      <c r="I583" s="36">
        <f t="shared" si="44"/>
        <v>9.7355183908570189E-3</v>
      </c>
    </row>
    <row r="584" spans="1:9" x14ac:dyDescent="0.3">
      <c r="A584" s="1">
        <v>578</v>
      </c>
      <c r="B584" s="27">
        <v>59363.300780999998</v>
      </c>
      <c r="C584" s="4">
        <v>375.739014</v>
      </c>
      <c r="D584" s="4">
        <v>326.48168900000002</v>
      </c>
      <c r="E584">
        <v>34240.601562999997</v>
      </c>
      <c r="F584" s="34">
        <f t="shared" ref="F584:F647" si="45">LN(B584/B583)</f>
        <v>2.683105022498726E-2</v>
      </c>
      <c r="G584" s="35">
        <f t="shared" ref="G584:G647" si="46">LN(C584/C583)</f>
        <v>1.6948650382651902E-2</v>
      </c>
      <c r="H584" s="35">
        <f t="shared" ref="H584:H647" si="47">LN(D584/D583)</f>
        <v>2.127603516801652E-2</v>
      </c>
      <c r="I584" s="36">
        <f t="shared" ref="I584:I647" si="48">LN(E584/E583)</f>
        <v>4.8930502090959338E-4</v>
      </c>
    </row>
    <row r="585" spans="1:9" x14ac:dyDescent="0.3">
      <c r="A585" s="1">
        <v>579</v>
      </c>
      <c r="B585" s="27">
        <v>60336.101562999997</v>
      </c>
      <c r="C585" s="4">
        <v>373.56720000000001</v>
      </c>
      <c r="D585" s="4">
        <v>323.01586900000001</v>
      </c>
      <c r="E585">
        <v>34586.820312999997</v>
      </c>
      <c r="F585" s="34">
        <f t="shared" si="45"/>
        <v>1.6254420342743631E-2</v>
      </c>
      <c r="G585" s="35">
        <f t="shared" si="46"/>
        <v>-5.796882612726411E-3</v>
      </c>
      <c r="H585" s="35">
        <f t="shared" si="47"/>
        <v>-1.0672412401764073E-2</v>
      </c>
      <c r="I585" s="36">
        <f t="shared" si="48"/>
        <v>1.0060573555516032E-2</v>
      </c>
    </row>
    <row r="586" spans="1:9" x14ac:dyDescent="0.3">
      <c r="A586" s="1">
        <v>580</v>
      </c>
      <c r="B586" s="27">
        <v>59080.199219000002</v>
      </c>
      <c r="C586" s="4">
        <v>376.82019000000003</v>
      </c>
      <c r="D586" s="4">
        <v>325.17956500000003</v>
      </c>
      <c r="E586">
        <v>34968.089844000002</v>
      </c>
      <c r="F586" s="34">
        <f t="shared" si="45"/>
        <v>-2.1034794126343525E-2</v>
      </c>
      <c r="G586" s="35">
        <f t="shared" si="46"/>
        <v>8.6702160012661466E-3</v>
      </c>
      <c r="H586" s="35">
        <f t="shared" si="47"/>
        <v>6.6760853990915177E-3</v>
      </c>
      <c r="I586" s="36">
        <f t="shared" si="48"/>
        <v>1.0963233190659765E-2</v>
      </c>
    </row>
    <row r="587" spans="1:9" x14ac:dyDescent="0.3">
      <c r="A587" s="1">
        <v>581</v>
      </c>
      <c r="B587" s="27">
        <v>56384.601562999997</v>
      </c>
      <c r="C587" s="4">
        <v>372.72525000000002</v>
      </c>
      <c r="D587" s="4">
        <v>324.40612800000002</v>
      </c>
      <c r="E587">
        <v>35830.808594000002</v>
      </c>
      <c r="F587" s="34">
        <f t="shared" si="45"/>
        <v>-4.669973038436627E-2</v>
      </c>
      <c r="G587" s="35">
        <f t="shared" si="46"/>
        <v>-1.0926571019213623E-2</v>
      </c>
      <c r="H587" s="35">
        <f t="shared" si="47"/>
        <v>-2.3813251240885351E-3</v>
      </c>
      <c r="I587" s="36">
        <f t="shared" si="48"/>
        <v>2.4372171697242682E-2</v>
      </c>
    </row>
    <row r="588" spans="1:9" x14ac:dyDescent="0.3">
      <c r="A588" s="1">
        <v>582</v>
      </c>
      <c r="B588" s="27">
        <v>56475.699219000002</v>
      </c>
      <c r="C588" s="4">
        <v>370.89782700000001</v>
      </c>
      <c r="D588" s="4">
        <v>326.540436</v>
      </c>
      <c r="E588">
        <v>36870.089844000002</v>
      </c>
      <c r="F588" s="34">
        <f t="shared" si="45"/>
        <v>1.614344019163116E-3</v>
      </c>
      <c r="G588" s="35">
        <f t="shared" si="46"/>
        <v>-4.9149272936797874E-3</v>
      </c>
      <c r="H588" s="35">
        <f t="shared" si="47"/>
        <v>6.557575586960733E-3</v>
      </c>
      <c r="I588" s="36">
        <f t="shared" si="48"/>
        <v>2.859255044547547E-2</v>
      </c>
    </row>
    <row r="589" spans="1:9" x14ac:dyDescent="0.3">
      <c r="A589" s="1">
        <v>583</v>
      </c>
      <c r="B589" s="27">
        <v>59244.101562999997</v>
      </c>
      <c r="C589" s="4">
        <v>375.56683299999997</v>
      </c>
      <c r="D589" s="4">
        <v>329.28173800000002</v>
      </c>
      <c r="E589">
        <v>36470.109375</v>
      </c>
      <c r="F589" s="34">
        <f t="shared" si="45"/>
        <v>4.7855780067039007E-2</v>
      </c>
      <c r="G589" s="35">
        <f t="shared" si="46"/>
        <v>1.2509813631862252E-2</v>
      </c>
      <c r="H589" s="35">
        <f t="shared" si="47"/>
        <v>8.3599429057172967E-3</v>
      </c>
      <c r="I589" s="36">
        <f t="shared" si="48"/>
        <v>-1.0907645164553547E-2</v>
      </c>
    </row>
    <row r="590" spans="1:9" x14ac:dyDescent="0.3">
      <c r="A590" s="1">
        <v>584</v>
      </c>
      <c r="B590" s="27">
        <v>56103.300780999998</v>
      </c>
      <c r="C590" s="4">
        <v>360.79443400000002</v>
      </c>
      <c r="D590" s="4">
        <v>326.41314699999998</v>
      </c>
      <c r="E590">
        <v>36370.429687999997</v>
      </c>
      <c r="F590" s="34">
        <f t="shared" si="45"/>
        <v>-5.4471575131542174E-2</v>
      </c>
      <c r="G590" s="35">
        <f t="shared" si="46"/>
        <v>-4.0128078148011885E-2</v>
      </c>
      <c r="H590" s="35">
        <f t="shared" si="47"/>
        <v>-8.7498297366544828E-3</v>
      </c>
      <c r="I590" s="36">
        <f t="shared" si="48"/>
        <v>-2.7369305748018934E-3</v>
      </c>
    </row>
    <row r="591" spans="1:9" x14ac:dyDescent="0.3">
      <c r="A591" s="1">
        <v>585</v>
      </c>
      <c r="B591" s="27">
        <v>55680</v>
      </c>
      <c r="C591" s="4">
        <v>354.92947400000003</v>
      </c>
      <c r="D591" s="4">
        <v>320.60742199999999</v>
      </c>
      <c r="E591">
        <v>36616.058594000002</v>
      </c>
      <c r="F591" s="34">
        <f t="shared" si="45"/>
        <v>-7.573632222611839E-3</v>
      </c>
      <c r="G591" s="35">
        <f t="shared" si="46"/>
        <v>-1.6389256289985318E-2</v>
      </c>
      <c r="H591" s="35">
        <f t="shared" si="47"/>
        <v>-1.7946510827208353E-2</v>
      </c>
      <c r="I591" s="36">
        <f t="shared" si="48"/>
        <v>6.7308302978715592E-3</v>
      </c>
    </row>
    <row r="592" spans="1:9" x14ac:dyDescent="0.3">
      <c r="A592" s="1">
        <v>586</v>
      </c>
      <c r="B592" s="27">
        <v>57300</v>
      </c>
      <c r="C592" s="4">
        <v>348.42352299999999</v>
      </c>
      <c r="D592" s="4">
        <v>317.259094</v>
      </c>
      <c r="E592">
        <v>36986.199219000002</v>
      </c>
      <c r="F592" s="34">
        <f t="shared" si="45"/>
        <v>2.8679607694529628E-2</v>
      </c>
      <c r="G592" s="35">
        <f t="shared" si="46"/>
        <v>-1.8500345029473311E-2</v>
      </c>
      <c r="H592" s="35">
        <f t="shared" si="47"/>
        <v>-1.0498618976310449E-2</v>
      </c>
      <c r="I592" s="36">
        <f t="shared" si="48"/>
        <v>1.0057945404080179E-2</v>
      </c>
    </row>
    <row r="593" spans="1:9" x14ac:dyDescent="0.3">
      <c r="A593" s="1">
        <v>587</v>
      </c>
      <c r="B593" s="27">
        <v>56700</v>
      </c>
      <c r="C593" s="4">
        <v>342.72122200000001</v>
      </c>
      <c r="D593" s="4">
        <v>315.48703</v>
      </c>
      <c r="E593">
        <v>36792.410155999998</v>
      </c>
      <c r="F593" s="34">
        <f t="shared" si="45"/>
        <v>-1.0526412986987504E-2</v>
      </c>
      <c r="G593" s="35">
        <f t="shared" si="46"/>
        <v>-1.6501407074815934E-2</v>
      </c>
      <c r="H593" s="35">
        <f t="shared" si="47"/>
        <v>-5.6011994882660503E-3</v>
      </c>
      <c r="I593" s="36">
        <f t="shared" si="48"/>
        <v>-5.2532708411148644E-3</v>
      </c>
    </row>
    <row r="594" spans="1:9" x14ac:dyDescent="0.3">
      <c r="A594" s="1">
        <v>588</v>
      </c>
      <c r="B594" s="27">
        <v>56434</v>
      </c>
      <c r="C594" s="4">
        <v>335.545502</v>
      </c>
      <c r="D594" s="4">
        <v>326.84393299999999</v>
      </c>
      <c r="E594">
        <v>37623.679687999997</v>
      </c>
      <c r="F594" s="34">
        <f t="shared" si="45"/>
        <v>-4.7023969834190209E-3</v>
      </c>
      <c r="G594" s="35">
        <f t="shared" si="46"/>
        <v>-2.1159781189225072E-2</v>
      </c>
      <c r="H594" s="35">
        <f t="shared" si="47"/>
        <v>3.5365216068931435E-2</v>
      </c>
      <c r="I594" s="36">
        <f t="shared" si="48"/>
        <v>2.2342052962052779E-2</v>
      </c>
    </row>
    <row r="595" spans="1:9" x14ac:dyDescent="0.3">
      <c r="A595" s="1">
        <v>589</v>
      </c>
      <c r="B595" s="27">
        <v>57630.199219000002</v>
      </c>
      <c r="C595" s="4">
        <v>340.40588400000001</v>
      </c>
      <c r="D595" s="4">
        <v>320.88156099999998</v>
      </c>
      <c r="E595">
        <v>37631.890625</v>
      </c>
      <c r="F595" s="34">
        <f t="shared" si="45"/>
        <v>2.0974908555057868E-2</v>
      </c>
      <c r="G595" s="35">
        <f t="shared" si="46"/>
        <v>1.4381110439535607E-2</v>
      </c>
      <c r="H595" s="35">
        <f t="shared" si="47"/>
        <v>-1.8410701658038542E-2</v>
      </c>
      <c r="I595" s="36">
        <f t="shared" si="48"/>
        <v>2.1821473143933946E-4</v>
      </c>
    </row>
    <row r="596" spans="1:9" x14ac:dyDescent="0.3">
      <c r="A596" s="1">
        <v>590</v>
      </c>
      <c r="B596" s="27">
        <v>57219.101562999997</v>
      </c>
      <c r="C596" s="4">
        <v>354.91992199999999</v>
      </c>
      <c r="D596" s="4">
        <v>325.32641599999999</v>
      </c>
      <c r="E596">
        <v>37462.890625</v>
      </c>
      <c r="F596" s="34">
        <f t="shared" si="45"/>
        <v>-7.1589362571918861E-3</v>
      </c>
      <c r="G596" s="35">
        <f t="shared" si="46"/>
        <v>4.1753510103035983E-2</v>
      </c>
      <c r="H596" s="35">
        <f t="shared" si="47"/>
        <v>1.3756949026944647E-2</v>
      </c>
      <c r="I596" s="36">
        <f t="shared" si="48"/>
        <v>-4.5009861537458427E-3</v>
      </c>
    </row>
    <row r="597" spans="1:9" x14ac:dyDescent="0.3">
      <c r="A597" s="1">
        <v>591</v>
      </c>
      <c r="B597" s="27">
        <v>57236.898437999997</v>
      </c>
      <c r="C597" s="4">
        <v>350.16479500000003</v>
      </c>
      <c r="D597" s="4">
        <v>323.86764499999998</v>
      </c>
      <c r="E597">
        <v>36394.589844000002</v>
      </c>
      <c r="F597" s="34">
        <f t="shared" si="45"/>
        <v>3.1098195189892876E-4</v>
      </c>
      <c r="G597" s="35">
        <f t="shared" si="46"/>
        <v>-1.3488305670391686E-2</v>
      </c>
      <c r="H597" s="35">
        <f t="shared" si="47"/>
        <v>-4.4941059780611217E-3</v>
      </c>
      <c r="I597" s="36">
        <f t="shared" si="48"/>
        <v>-2.8930726745456985E-2</v>
      </c>
    </row>
    <row r="598" spans="1:9" x14ac:dyDescent="0.3">
      <c r="A598" s="1">
        <v>592</v>
      </c>
      <c r="B598" s="27">
        <v>56476.898437999997</v>
      </c>
      <c r="C598" s="4">
        <v>344.34771699999999</v>
      </c>
      <c r="D598" s="4">
        <v>325.26769999999999</v>
      </c>
      <c r="E598">
        <v>36094.140625</v>
      </c>
      <c r="F598" s="34">
        <f t="shared" si="45"/>
        <v>-1.3367090664273037E-2</v>
      </c>
      <c r="G598" s="35">
        <f t="shared" si="46"/>
        <v>-1.6751934442543807E-2</v>
      </c>
      <c r="H598" s="35">
        <f t="shared" si="47"/>
        <v>4.3136063432951651E-3</v>
      </c>
      <c r="I598" s="36">
        <f t="shared" si="48"/>
        <v>-8.2895903282964502E-3</v>
      </c>
    </row>
    <row r="599" spans="1:9" x14ac:dyDescent="0.3">
      <c r="A599" s="1">
        <v>593</v>
      </c>
      <c r="B599" s="27">
        <v>57700</v>
      </c>
      <c r="C599" s="4">
        <v>335.70816000000002</v>
      </c>
      <c r="D599" s="4">
        <v>330.22164900000001</v>
      </c>
      <c r="E599">
        <v>35691.390625</v>
      </c>
      <c r="F599" s="34">
        <f t="shared" si="45"/>
        <v>2.1425496178274623E-2</v>
      </c>
      <c r="G599" s="35">
        <f t="shared" si="46"/>
        <v>-2.5409740978436575E-2</v>
      </c>
      <c r="H599" s="35">
        <f t="shared" si="47"/>
        <v>1.5115557042732404E-2</v>
      </c>
      <c r="I599" s="36">
        <f t="shared" si="48"/>
        <v>-1.1221041869917773E-2</v>
      </c>
    </row>
    <row r="600" spans="1:9" x14ac:dyDescent="0.3">
      <c r="A600" s="1">
        <v>594</v>
      </c>
      <c r="B600" s="27">
        <v>57466.101562999997</v>
      </c>
      <c r="C600" s="4">
        <v>348.68182400000001</v>
      </c>
      <c r="D600" s="4">
        <v>330.45660400000003</v>
      </c>
      <c r="E600">
        <v>37112.460937999997</v>
      </c>
      <c r="F600" s="34">
        <f t="shared" si="45"/>
        <v>-4.0619375914082668E-3</v>
      </c>
      <c r="G600" s="35">
        <f t="shared" si="46"/>
        <v>3.7917616179295455E-2</v>
      </c>
      <c r="H600" s="35">
        <f t="shared" si="47"/>
        <v>7.1125395406329767E-4</v>
      </c>
      <c r="I600" s="36">
        <f t="shared" si="48"/>
        <v>3.9043286821343837E-2</v>
      </c>
    </row>
    <row r="601" spans="1:9" x14ac:dyDescent="0.3">
      <c r="A601" s="1">
        <v>595</v>
      </c>
      <c r="B601" s="27">
        <v>58000</v>
      </c>
      <c r="C601" s="4">
        <v>337.64080799999999</v>
      </c>
      <c r="D601" s="4">
        <v>325.55157500000001</v>
      </c>
      <c r="E601">
        <v>35862.039062999997</v>
      </c>
      <c r="F601" s="34">
        <f t="shared" si="45"/>
        <v>9.2477746237736164E-3</v>
      </c>
      <c r="G601" s="35">
        <f t="shared" si="46"/>
        <v>-3.2177195093156905E-2</v>
      </c>
      <c r="H601" s="35">
        <f t="shared" si="47"/>
        <v>-1.4954448948198588E-2</v>
      </c>
      <c r="I601" s="36">
        <f t="shared" si="48"/>
        <v>-3.4273459231448679E-2</v>
      </c>
    </row>
    <row r="602" spans="1:9" x14ac:dyDescent="0.3">
      <c r="A602" s="1">
        <v>596</v>
      </c>
      <c r="B602" s="27">
        <v>57768.800780999998</v>
      </c>
      <c r="C602" s="4">
        <v>328.74295000000001</v>
      </c>
      <c r="D602" s="4">
        <v>322.281586</v>
      </c>
      <c r="E602">
        <v>36026.980469000002</v>
      </c>
      <c r="F602" s="34">
        <f t="shared" si="45"/>
        <v>-3.9941594765821225E-3</v>
      </c>
      <c r="G602" s="35">
        <f t="shared" si="46"/>
        <v>-2.6706493798934493E-2</v>
      </c>
      <c r="H602" s="35">
        <f t="shared" si="47"/>
        <v>-1.0095243554254309E-2</v>
      </c>
      <c r="I602" s="36">
        <f t="shared" si="48"/>
        <v>4.5887868969179454E-3</v>
      </c>
    </row>
    <row r="603" spans="1:9" x14ac:dyDescent="0.3">
      <c r="A603" s="1">
        <v>597</v>
      </c>
      <c r="B603" s="27">
        <v>56311</v>
      </c>
      <c r="C603" s="4">
        <v>321.85427900000002</v>
      </c>
      <c r="D603" s="4">
        <v>321.84103399999998</v>
      </c>
      <c r="E603">
        <v>35560.761719000002</v>
      </c>
      <c r="F603" s="34">
        <f t="shared" si="45"/>
        <v>-2.5558953125975968E-2</v>
      </c>
      <c r="G603" s="35">
        <f t="shared" si="46"/>
        <v>-2.1177244971657763E-2</v>
      </c>
      <c r="H603" s="35">
        <f t="shared" si="47"/>
        <v>-1.3679136705253879E-3</v>
      </c>
      <c r="I603" s="36">
        <f t="shared" si="48"/>
        <v>-1.3025284139746175E-2</v>
      </c>
    </row>
    <row r="604" spans="1:9" x14ac:dyDescent="0.3">
      <c r="A604" s="1">
        <v>598</v>
      </c>
      <c r="B604" s="27">
        <v>55463.398437999997</v>
      </c>
      <c r="C604" s="4">
        <v>334.42611699999998</v>
      </c>
      <c r="D604" s="4">
        <v>319.96124300000002</v>
      </c>
      <c r="E604">
        <v>35784.421875</v>
      </c>
      <c r="F604" s="34">
        <f t="shared" si="45"/>
        <v>-1.5166582352682064E-2</v>
      </c>
      <c r="G604" s="35">
        <f t="shared" si="46"/>
        <v>3.8317085813919294E-2</v>
      </c>
      <c r="H604" s="35">
        <f t="shared" si="47"/>
        <v>-5.8578675792239944E-3</v>
      </c>
      <c r="I604" s="36">
        <f t="shared" si="48"/>
        <v>6.2698244623971104E-3</v>
      </c>
    </row>
    <row r="605" spans="1:9" x14ac:dyDescent="0.3">
      <c r="A605" s="1">
        <v>599</v>
      </c>
      <c r="B605" s="27">
        <v>55463.398437999997</v>
      </c>
      <c r="C605" s="4">
        <v>337.717377</v>
      </c>
      <c r="D605" s="4">
        <v>318.38501000000002</v>
      </c>
      <c r="E605">
        <v>35832.769530999998</v>
      </c>
      <c r="F605" s="34">
        <f t="shared" si="45"/>
        <v>0</v>
      </c>
      <c r="G605" s="35">
        <f t="shared" si="46"/>
        <v>9.7934037447102579E-3</v>
      </c>
      <c r="H605" s="35">
        <f t="shared" si="47"/>
        <v>-4.9384991174410637E-3</v>
      </c>
      <c r="I605" s="36">
        <f t="shared" si="48"/>
        <v>1.3501692092490272E-3</v>
      </c>
    </row>
    <row r="606" spans="1:9" x14ac:dyDescent="0.3">
      <c r="A606" s="1">
        <v>600</v>
      </c>
      <c r="B606" s="27">
        <v>53793.898437999997</v>
      </c>
      <c r="C606" s="4">
        <v>328.53247099999999</v>
      </c>
      <c r="D606" s="4">
        <v>315.496826</v>
      </c>
      <c r="E606">
        <v>36206.859375</v>
      </c>
      <c r="F606" s="34">
        <f t="shared" si="45"/>
        <v>-3.056326678814562E-2</v>
      </c>
      <c r="G606" s="35">
        <f t="shared" si="46"/>
        <v>-2.757370367145863E-2</v>
      </c>
      <c r="H606" s="35">
        <f t="shared" si="47"/>
        <v>-9.1127520074482139E-3</v>
      </c>
      <c r="I606" s="36">
        <f t="shared" si="48"/>
        <v>1.0385761621631396E-2</v>
      </c>
    </row>
    <row r="607" spans="1:9" x14ac:dyDescent="0.3">
      <c r="A607" s="1">
        <v>601</v>
      </c>
      <c r="B607" s="27">
        <v>53789</v>
      </c>
      <c r="C607" s="4">
        <v>330.532104</v>
      </c>
      <c r="D607" s="4">
        <v>313.940155</v>
      </c>
      <c r="E607">
        <v>36889.960937999997</v>
      </c>
      <c r="F607" s="34">
        <f t="shared" si="45"/>
        <v>-9.1063506830610093E-5</v>
      </c>
      <c r="G607" s="35">
        <f t="shared" si="46"/>
        <v>6.0681129337567599E-3</v>
      </c>
      <c r="H607" s="35">
        <f t="shared" si="47"/>
        <v>-4.9462431369387922E-3</v>
      </c>
      <c r="I607" s="36">
        <f t="shared" si="48"/>
        <v>1.8690866351425334E-2</v>
      </c>
    </row>
    <row r="608" spans="1:9" x14ac:dyDescent="0.3">
      <c r="A608" s="1">
        <v>602</v>
      </c>
      <c r="B608" s="27">
        <v>53689.199219000002</v>
      </c>
      <c r="C608" s="4">
        <v>325.57607999999999</v>
      </c>
      <c r="D608" s="4">
        <v>309.84774800000002</v>
      </c>
      <c r="E608">
        <v>36508.140625</v>
      </c>
      <c r="F608" s="34">
        <f t="shared" si="45"/>
        <v>-1.8571358733069942E-3</v>
      </c>
      <c r="G608" s="35">
        <f t="shared" si="46"/>
        <v>-1.5107625188098122E-2</v>
      </c>
      <c r="H608" s="35">
        <f t="shared" si="47"/>
        <v>-1.312133722306944E-2</v>
      </c>
      <c r="I608" s="36">
        <f t="shared" si="48"/>
        <v>-1.0404186187591575E-2</v>
      </c>
    </row>
    <row r="609" spans="1:9" x14ac:dyDescent="0.3">
      <c r="A609" s="1">
        <v>603</v>
      </c>
      <c r="B609" s="27">
        <v>53784.800780999998</v>
      </c>
      <c r="C609" s="4">
        <v>317.66366599999998</v>
      </c>
      <c r="D609" s="4">
        <v>306.04904199999999</v>
      </c>
      <c r="E609">
        <v>36122.730469000002</v>
      </c>
      <c r="F609" s="34">
        <f t="shared" si="45"/>
        <v>1.7790644661120644E-3</v>
      </c>
      <c r="G609" s="35">
        <f t="shared" si="46"/>
        <v>-2.4602998074928537E-2</v>
      </c>
      <c r="H609" s="35">
        <f t="shared" si="47"/>
        <v>-1.233568426408793E-2</v>
      </c>
      <c r="I609" s="36">
        <f t="shared" si="48"/>
        <v>-1.0612946471168731E-2</v>
      </c>
    </row>
    <row r="610" spans="1:9" x14ac:dyDescent="0.3">
      <c r="A610" s="1">
        <v>604</v>
      </c>
      <c r="B610" s="27">
        <v>55166.398437999997</v>
      </c>
      <c r="C610" s="4">
        <v>319.51977499999998</v>
      </c>
      <c r="D610" s="4">
        <v>311.56106599999998</v>
      </c>
      <c r="E610">
        <v>36980.851562999997</v>
      </c>
      <c r="F610" s="34">
        <f t="shared" si="45"/>
        <v>2.5363130097121968E-2</v>
      </c>
      <c r="G610" s="35">
        <f t="shared" si="46"/>
        <v>5.8259965046321693E-3</v>
      </c>
      <c r="H610" s="35">
        <f t="shared" si="47"/>
        <v>1.7850000453044645E-2</v>
      </c>
      <c r="I610" s="36">
        <f t="shared" si="48"/>
        <v>2.3477933285929457E-2</v>
      </c>
    </row>
    <row r="611" spans="1:9" x14ac:dyDescent="0.3">
      <c r="A611" s="1">
        <v>605</v>
      </c>
      <c r="B611" s="27">
        <v>53698.398437999997</v>
      </c>
      <c r="C611" s="4">
        <v>322.31350700000002</v>
      </c>
      <c r="D611" s="4">
        <v>310.023956</v>
      </c>
      <c r="E611">
        <v>37460.441405999998</v>
      </c>
      <c r="F611" s="34">
        <f t="shared" si="45"/>
        <v>-2.6970867161872903E-2</v>
      </c>
      <c r="G611" s="35">
        <f t="shared" si="46"/>
        <v>8.70553061738393E-3</v>
      </c>
      <c r="H611" s="35">
        <f t="shared" si="47"/>
        <v>-4.9457856249411434E-3</v>
      </c>
      <c r="I611" s="36">
        <f t="shared" si="48"/>
        <v>1.288522698469266E-2</v>
      </c>
    </row>
    <row r="612" spans="1:9" x14ac:dyDescent="0.3">
      <c r="A612" s="1">
        <v>606</v>
      </c>
      <c r="B612" s="27">
        <v>53965</v>
      </c>
      <c r="C612" s="4">
        <v>331.22094700000002</v>
      </c>
      <c r="D612" s="4">
        <v>312.168091</v>
      </c>
      <c r="E612">
        <v>38290.769530999998</v>
      </c>
      <c r="F612" s="34">
        <f t="shared" si="45"/>
        <v>4.9525114530524607E-3</v>
      </c>
      <c r="G612" s="35">
        <f t="shared" si="46"/>
        <v>2.7260970180752922E-2</v>
      </c>
      <c r="H612" s="35">
        <f t="shared" si="47"/>
        <v>6.8922240264060264E-3</v>
      </c>
      <c r="I612" s="36">
        <f t="shared" si="48"/>
        <v>2.1923382385696612E-2</v>
      </c>
    </row>
    <row r="613" spans="1:9" x14ac:dyDescent="0.3">
      <c r="A613" s="1">
        <v>607</v>
      </c>
      <c r="B613" s="27">
        <v>53932.199219000002</v>
      </c>
      <c r="C613" s="4">
        <v>338.37560999999999</v>
      </c>
      <c r="D613" s="4">
        <v>313.38207999999997</v>
      </c>
      <c r="E613">
        <v>37872.890625</v>
      </c>
      <c r="F613" s="34">
        <f t="shared" si="45"/>
        <v>-6.0800061999499505E-4</v>
      </c>
      <c r="G613" s="35">
        <f t="shared" si="46"/>
        <v>2.1370884382371794E-2</v>
      </c>
      <c r="H613" s="35">
        <f t="shared" si="47"/>
        <v>3.8813530243654746E-3</v>
      </c>
      <c r="I613" s="36">
        <f t="shared" si="48"/>
        <v>-1.097329351852756E-2</v>
      </c>
    </row>
    <row r="614" spans="1:9" x14ac:dyDescent="0.3">
      <c r="A614" s="1">
        <v>608</v>
      </c>
      <c r="B614" s="27">
        <v>53615.398437999997</v>
      </c>
      <c r="C614" s="4">
        <v>330.039917</v>
      </c>
      <c r="D614" s="4">
        <v>310.03378300000003</v>
      </c>
      <c r="E614">
        <v>38948.078125</v>
      </c>
      <c r="F614" s="34">
        <f t="shared" si="45"/>
        <v>-5.8913765477437829E-3</v>
      </c>
      <c r="G614" s="35">
        <f t="shared" si="46"/>
        <v>-2.4942942915051475E-2</v>
      </c>
      <c r="H614" s="35">
        <f t="shared" si="47"/>
        <v>-1.074188000263304E-2</v>
      </c>
      <c r="I614" s="36">
        <f t="shared" si="48"/>
        <v>2.7993859784822755E-2</v>
      </c>
    </row>
    <row r="615" spans="1:9" x14ac:dyDescent="0.3">
      <c r="A615" s="1">
        <v>609</v>
      </c>
      <c r="B615" s="27">
        <v>54522.5</v>
      </c>
      <c r="C615" s="4">
        <v>320.67938199999998</v>
      </c>
      <c r="D615" s="4">
        <v>308.38894699999997</v>
      </c>
      <c r="E615">
        <v>39954.011719000002</v>
      </c>
      <c r="F615" s="34">
        <f t="shared" si="45"/>
        <v>1.6777149399673383E-2</v>
      </c>
      <c r="G615" s="35">
        <f t="shared" si="46"/>
        <v>-2.8771793733344556E-2</v>
      </c>
      <c r="H615" s="35">
        <f t="shared" si="47"/>
        <v>-5.31946773244419E-3</v>
      </c>
      <c r="I615" s="36">
        <f t="shared" si="48"/>
        <v>2.5499656674674149E-2</v>
      </c>
    </row>
    <row r="616" spans="1:9" x14ac:dyDescent="0.3">
      <c r="A616" s="1">
        <v>610</v>
      </c>
      <c r="B616" s="27">
        <v>57031.101562999997</v>
      </c>
      <c r="C616" s="4">
        <v>328.12683099999998</v>
      </c>
      <c r="D616" s="4">
        <v>310.05334499999998</v>
      </c>
      <c r="E616">
        <v>39185.660155999998</v>
      </c>
      <c r="F616" s="34">
        <f t="shared" si="45"/>
        <v>4.4983299973275145E-2</v>
      </c>
      <c r="G616" s="35">
        <f t="shared" si="46"/>
        <v>2.2958399502697371E-2</v>
      </c>
      <c r="H616" s="35">
        <f t="shared" si="47"/>
        <v>5.3825620916822777E-3</v>
      </c>
      <c r="I616" s="36">
        <f t="shared" si="48"/>
        <v>-1.9418218144987089E-2</v>
      </c>
    </row>
    <row r="617" spans="1:9" x14ac:dyDescent="0.3">
      <c r="A617" s="1">
        <v>611</v>
      </c>
      <c r="B617" s="27">
        <v>57693</v>
      </c>
      <c r="C617" s="4">
        <v>338.00470000000001</v>
      </c>
      <c r="D617" s="4">
        <v>310.35684199999997</v>
      </c>
      <c r="E617">
        <v>38266.191405999998</v>
      </c>
      <c r="F617" s="34">
        <f t="shared" si="45"/>
        <v>1.1539088514300664E-2</v>
      </c>
      <c r="G617" s="35">
        <f t="shared" si="46"/>
        <v>2.9659587190989271E-2</v>
      </c>
      <c r="H617" s="35">
        <f t="shared" si="47"/>
        <v>9.7837537348301022E-4</v>
      </c>
      <c r="I617" s="36">
        <f t="shared" si="48"/>
        <v>-2.3744092087421051E-2</v>
      </c>
    </row>
    <row r="618" spans="1:9" x14ac:dyDescent="0.3">
      <c r="A618" s="1">
        <v>612</v>
      </c>
      <c r="B618" s="27">
        <v>58316.800780999998</v>
      </c>
      <c r="C618" s="4">
        <v>347.17001299999998</v>
      </c>
      <c r="D618" s="4">
        <v>314.18490600000001</v>
      </c>
      <c r="E618">
        <v>36827.359375</v>
      </c>
      <c r="F618" s="34">
        <f t="shared" si="45"/>
        <v>1.075438090605439E-2</v>
      </c>
      <c r="G618" s="35">
        <f t="shared" si="46"/>
        <v>2.6754810256915004E-2</v>
      </c>
      <c r="H618" s="35">
        <f t="shared" si="47"/>
        <v>1.225894650861975E-2</v>
      </c>
      <c r="I618" s="36">
        <f t="shared" si="48"/>
        <v>-3.8325745214771903E-2</v>
      </c>
    </row>
    <row r="619" spans="1:9" x14ac:dyDescent="0.3">
      <c r="A619" s="1">
        <v>613</v>
      </c>
      <c r="B619" s="27">
        <v>56780</v>
      </c>
      <c r="C619" s="4">
        <v>337.92657500000001</v>
      </c>
      <c r="D619" s="4">
        <v>316.79894999999999</v>
      </c>
      <c r="E619">
        <v>37679.238280999998</v>
      </c>
      <c r="F619" s="34">
        <f t="shared" si="45"/>
        <v>-2.6706078858049161E-2</v>
      </c>
      <c r="G619" s="35">
        <f t="shared" si="46"/>
        <v>-2.6985972812155173E-2</v>
      </c>
      <c r="H619" s="35">
        <f t="shared" si="47"/>
        <v>8.2856603385587403E-3</v>
      </c>
      <c r="I619" s="36">
        <f t="shared" si="48"/>
        <v>2.2868203809801292E-2</v>
      </c>
    </row>
    <row r="620" spans="1:9" x14ac:dyDescent="0.3">
      <c r="A620" s="1">
        <v>614</v>
      </c>
      <c r="B620" s="27">
        <v>57245.398437999997</v>
      </c>
      <c r="C620" s="4">
        <v>335.52545199999997</v>
      </c>
      <c r="D620" s="4">
        <v>316.75</v>
      </c>
      <c r="E620">
        <v>37416.738280999998</v>
      </c>
      <c r="F620" s="34">
        <f t="shared" si="45"/>
        <v>8.1631115303285196E-3</v>
      </c>
      <c r="G620" s="35">
        <f t="shared" si="46"/>
        <v>-7.1308217310443118E-3</v>
      </c>
      <c r="H620" s="35">
        <f t="shared" si="47"/>
        <v>-1.5452633959030555E-4</v>
      </c>
      <c r="I620" s="36">
        <f t="shared" si="48"/>
        <v>-6.991082110185798E-3</v>
      </c>
    </row>
    <row r="621" spans="1:9" x14ac:dyDescent="0.3">
      <c r="A621" s="1">
        <v>615</v>
      </c>
      <c r="B621" s="27">
        <v>58291.199219000002</v>
      </c>
      <c r="C621" s="4">
        <v>336.79434199999997</v>
      </c>
      <c r="D621" s="4">
        <v>321.42999300000002</v>
      </c>
      <c r="E621">
        <v>37894.050780999998</v>
      </c>
      <c r="F621" s="34">
        <f t="shared" si="45"/>
        <v>1.8103862593716786E-2</v>
      </c>
      <c r="G621" s="35">
        <f t="shared" si="46"/>
        <v>3.7746665141511291E-3</v>
      </c>
      <c r="H621" s="35">
        <f t="shared" si="47"/>
        <v>1.4666949598790916E-2</v>
      </c>
      <c r="I621" s="36">
        <f t="shared" si="48"/>
        <v>1.2675976368254281E-2</v>
      </c>
    </row>
    <row r="622" spans="1:9" x14ac:dyDescent="0.3">
      <c r="A622" s="1">
        <v>616</v>
      </c>
      <c r="B622" s="27">
        <v>59039.101562999997</v>
      </c>
      <c r="C622" s="4">
        <v>336.042755</v>
      </c>
      <c r="D622" s="4">
        <v>319.01998900000001</v>
      </c>
      <c r="E622">
        <v>37897.238280999998</v>
      </c>
      <c r="F622" s="34">
        <f t="shared" si="45"/>
        <v>1.2748837578698441E-2</v>
      </c>
      <c r="G622" s="35">
        <f t="shared" si="46"/>
        <v>-2.234084047853115E-3</v>
      </c>
      <c r="H622" s="35">
        <f t="shared" si="47"/>
        <v>-7.5260065363345991E-3</v>
      </c>
      <c r="I622" s="36">
        <f t="shared" si="48"/>
        <v>8.4112568642893918E-5</v>
      </c>
    </row>
    <row r="623" spans="1:9" x14ac:dyDescent="0.3">
      <c r="A623" s="1">
        <v>617</v>
      </c>
      <c r="B623" s="27">
        <v>60348.300780999998</v>
      </c>
      <c r="C623" s="4">
        <v>336.66748000000001</v>
      </c>
      <c r="D623" s="4">
        <v>320.98998999999998</v>
      </c>
      <c r="E623">
        <v>37632.890625</v>
      </c>
      <c r="F623" s="34">
        <f t="shared" si="45"/>
        <v>2.1932828326673873E-2</v>
      </c>
      <c r="G623" s="35">
        <f t="shared" si="46"/>
        <v>1.8573381140635011E-3</v>
      </c>
      <c r="H623" s="35">
        <f t="shared" si="47"/>
        <v>6.1561765794632337E-3</v>
      </c>
      <c r="I623" s="36">
        <f t="shared" si="48"/>
        <v>-6.9998221687893663E-3</v>
      </c>
    </row>
    <row r="624" spans="1:9" x14ac:dyDescent="0.3">
      <c r="A624" s="1">
        <v>618</v>
      </c>
      <c r="B624" s="27">
        <v>60773</v>
      </c>
      <c r="C624" s="4">
        <v>323.59783900000002</v>
      </c>
      <c r="D624" s="4">
        <v>320.82998700000002</v>
      </c>
      <c r="E624">
        <v>38404.628905999998</v>
      </c>
      <c r="F624" s="34">
        <f t="shared" si="45"/>
        <v>7.0128203182529833E-3</v>
      </c>
      <c r="G624" s="35">
        <f t="shared" si="46"/>
        <v>-3.9594229841350512E-2</v>
      </c>
      <c r="H624" s="35">
        <f t="shared" si="47"/>
        <v>-4.985915336026298E-4</v>
      </c>
      <c r="I624" s="36">
        <f t="shared" si="48"/>
        <v>2.0299578066519022E-2</v>
      </c>
    </row>
    <row r="625" spans="1:9" x14ac:dyDescent="0.3">
      <c r="A625" s="1">
        <v>619</v>
      </c>
      <c r="B625" s="27">
        <v>60924.199219000002</v>
      </c>
      <c r="C625" s="4">
        <v>329.42498799999998</v>
      </c>
      <c r="D625" s="4">
        <v>321.97000100000002</v>
      </c>
      <c r="E625">
        <v>38123.558594000002</v>
      </c>
      <c r="F625" s="34">
        <f t="shared" si="45"/>
        <v>2.484844314709115E-3</v>
      </c>
      <c r="G625" s="35">
        <f t="shared" si="46"/>
        <v>1.7847166839696463E-2</v>
      </c>
      <c r="H625" s="35">
        <f t="shared" si="47"/>
        <v>3.5470292984791096E-3</v>
      </c>
      <c r="I625" s="36">
        <f t="shared" si="48"/>
        <v>-7.3455699135015744E-3</v>
      </c>
    </row>
    <row r="626" spans="1:9" x14ac:dyDescent="0.3">
      <c r="A626" s="1">
        <v>620</v>
      </c>
      <c r="B626" s="27">
        <v>61958.898437999997</v>
      </c>
      <c r="C626" s="4">
        <v>333.23165899999998</v>
      </c>
      <c r="D626" s="4">
        <v>321.86999500000002</v>
      </c>
      <c r="E626">
        <v>38217.679687999997</v>
      </c>
      <c r="F626" s="34">
        <f t="shared" si="45"/>
        <v>1.6840781084325677E-2</v>
      </c>
      <c r="G626" s="35">
        <f t="shared" si="46"/>
        <v>1.1489246780842758E-2</v>
      </c>
      <c r="H626" s="35">
        <f t="shared" si="47"/>
        <v>-3.1065482550198057E-4</v>
      </c>
      <c r="I626" s="36">
        <f t="shared" si="48"/>
        <v>2.465800760047745E-3</v>
      </c>
    </row>
    <row r="627" spans="1:9" x14ac:dyDescent="0.3">
      <c r="A627" s="1">
        <v>621</v>
      </c>
      <c r="B627" s="27">
        <v>62208.601562999997</v>
      </c>
      <c r="C627" s="4">
        <v>329.10290500000002</v>
      </c>
      <c r="D627" s="4">
        <v>319.89001500000001</v>
      </c>
      <c r="E627">
        <v>37908.378905999998</v>
      </c>
      <c r="F627" s="34">
        <f t="shared" si="45"/>
        <v>4.0220421868015074E-3</v>
      </c>
      <c r="G627" s="35">
        <f t="shared" si="46"/>
        <v>-1.2467437770490834E-2</v>
      </c>
      <c r="H627" s="35">
        <f t="shared" si="47"/>
        <v>-6.1704881932269735E-3</v>
      </c>
      <c r="I627" s="36">
        <f t="shared" si="48"/>
        <v>-8.1260606344805645E-3</v>
      </c>
    </row>
    <row r="628" spans="1:9" x14ac:dyDescent="0.3">
      <c r="A628" s="1">
        <v>622</v>
      </c>
      <c r="B628" s="27">
        <v>62300</v>
      </c>
      <c r="C628" s="4">
        <v>333.65136699999999</v>
      </c>
      <c r="D628" s="4">
        <v>313.86999500000002</v>
      </c>
      <c r="E628">
        <v>37734.519530999998</v>
      </c>
      <c r="F628" s="34">
        <f t="shared" si="45"/>
        <v>1.4681468150753694E-3</v>
      </c>
      <c r="G628" s="35">
        <f t="shared" si="46"/>
        <v>1.3726153434410833E-2</v>
      </c>
      <c r="H628" s="35">
        <f t="shared" si="47"/>
        <v>-1.899836207701415E-2</v>
      </c>
      <c r="I628" s="36">
        <f t="shared" si="48"/>
        <v>-4.5968540271505917E-3</v>
      </c>
    </row>
    <row r="629" spans="1:9" x14ac:dyDescent="0.3">
      <c r="A629" s="1">
        <v>623</v>
      </c>
      <c r="B629" s="27">
        <v>62225</v>
      </c>
      <c r="C629" s="4">
        <v>330.92816199999999</v>
      </c>
      <c r="D629" s="4">
        <v>313.51001000000002</v>
      </c>
      <c r="E629">
        <v>37431.949219000002</v>
      </c>
      <c r="F629" s="34">
        <f t="shared" si="45"/>
        <v>-1.2045775397517213E-3</v>
      </c>
      <c r="G629" s="35">
        <f t="shared" si="46"/>
        <v>-8.195317859655802E-3</v>
      </c>
      <c r="H629" s="35">
        <f t="shared" si="47"/>
        <v>-1.1475821245106668E-3</v>
      </c>
      <c r="I629" s="36">
        <f t="shared" si="48"/>
        <v>-8.0507159977931553E-3</v>
      </c>
    </row>
    <row r="630" spans="1:9" x14ac:dyDescent="0.3">
      <c r="A630" s="1">
        <v>624</v>
      </c>
      <c r="B630" s="27">
        <v>61768</v>
      </c>
      <c r="C630" s="4">
        <v>330.90859999999998</v>
      </c>
      <c r="D630" s="4">
        <v>313.32000699999998</v>
      </c>
      <c r="E630">
        <v>37769.191405999998</v>
      </c>
      <c r="F630" s="34">
        <f t="shared" si="45"/>
        <v>-7.3714172471410488E-3</v>
      </c>
      <c r="G630" s="35">
        <f t="shared" si="46"/>
        <v>-5.9114274482385541E-5</v>
      </c>
      <c r="H630" s="35">
        <f t="shared" si="47"/>
        <v>-6.0623454737721006E-4</v>
      </c>
      <c r="I630" s="36">
        <f t="shared" si="48"/>
        <v>8.9691311857839646E-3</v>
      </c>
    </row>
    <row r="631" spans="1:9" x14ac:dyDescent="0.3">
      <c r="A631" s="1">
        <v>625</v>
      </c>
      <c r="B631" s="27">
        <v>63467.601562999997</v>
      </c>
      <c r="C631" s="4">
        <v>329.69830300000001</v>
      </c>
      <c r="D631" s="4">
        <v>312.97000100000002</v>
      </c>
      <c r="E631">
        <v>37716.429687999997</v>
      </c>
      <c r="F631" s="34">
        <f t="shared" si="45"/>
        <v>2.7144133083601502E-2</v>
      </c>
      <c r="G631" s="35">
        <f t="shared" si="46"/>
        <v>-3.6642013538201639E-3</v>
      </c>
      <c r="H631" s="35">
        <f t="shared" si="47"/>
        <v>-1.1177123440166623E-3</v>
      </c>
      <c r="I631" s="36">
        <f t="shared" si="48"/>
        <v>-1.3979278656674537E-3</v>
      </c>
    </row>
    <row r="632" spans="1:9" x14ac:dyDescent="0.3">
      <c r="A632" s="1">
        <v>626</v>
      </c>
      <c r="B632" s="27">
        <v>65690.703125</v>
      </c>
      <c r="C632" s="4">
        <v>347.52142300000003</v>
      </c>
      <c r="D632" s="4">
        <v>315.36999500000002</v>
      </c>
      <c r="E632">
        <v>37619.769530999998</v>
      </c>
      <c r="F632" s="34">
        <f t="shared" si="45"/>
        <v>3.4427846440951614E-2</v>
      </c>
      <c r="G632" s="35">
        <f t="shared" si="46"/>
        <v>5.2648309064481973E-2</v>
      </c>
      <c r="H632" s="35">
        <f t="shared" si="47"/>
        <v>7.6391943428587112E-3</v>
      </c>
      <c r="I632" s="36">
        <f t="shared" si="48"/>
        <v>-2.5661026450331465E-3</v>
      </c>
    </row>
    <row r="633" spans="1:9" x14ac:dyDescent="0.3">
      <c r="A633" s="1">
        <v>627</v>
      </c>
      <c r="B633" s="27">
        <v>65040.199219000002</v>
      </c>
      <c r="C633" s="4">
        <v>323.45141599999999</v>
      </c>
      <c r="D633" s="4">
        <v>311.55999800000001</v>
      </c>
      <c r="E633">
        <v>37894.078125</v>
      </c>
      <c r="F633" s="34">
        <f t="shared" si="45"/>
        <v>-9.9518822734483078E-3</v>
      </c>
      <c r="G633" s="35">
        <f t="shared" si="46"/>
        <v>-7.1777391743257646E-2</v>
      </c>
      <c r="H633" s="35">
        <f t="shared" si="47"/>
        <v>-1.2154607206817212E-2</v>
      </c>
      <c r="I633" s="36">
        <f t="shared" si="48"/>
        <v>7.2651522620036275E-3</v>
      </c>
    </row>
    <row r="634" spans="1:9" x14ac:dyDescent="0.3">
      <c r="A634" s="1">
        <v>628</v>
      </c>
      <c r="B634" s="27">
        <v>64700</v>
      </c>
      <c r="C634" s="4">
        <v>333.77825899999999</v>
      </c>
      <c r="D634" s="4">
        <v>309.42001299999998</v>
      </c>
      <c r="E634">
        <v>37950</v>
      </c>
      <c r="F634" s="34">
        <f t="shared" si="45"/>
        <v>-5.2443267507645275E-3</v>
      </c>
      <c r="G634" s="35">
        <f t="shared" si="46"/>
        <v>3.1427957008871639E-2</v>
      </c>
      <c r="H634" s="35">
        <f t="shared" si="47"/>
        <v>-6.8923103274259262E-3</v>
      </c>
      <c r="I634" s="36">
        <f t="shared" si="48"/>
        <v>1.4746539615613163E-3</v>
      </c>
    </row>
    <row r="635" spans="1:9" x14ac:dyDescent="0.3">
      <c r="A635" s="1">
        <v>629</v>
      </c>
      <c r="B635" s="27">
        <v>68036.796875</v>
      </c>
      <c r="C635" s="4">
        <v>338.238922</v>
      </c>
      <c r="D635" s="4">
        <v>311.57000699999998</v>
      </c>
      <c r="E635">
        <v>37884.761719000002</v>
      </c>
      <c r="F635" s="34">
        <f t="shared" si="45"/>
        <v>5.0287487825637654E-2</v>
      </c>
      <c r="G635" s="35">
        <f t="shared" si="46"/>
        <v>1.3275638299593788E-2</v>
      </c>
      <c r="H635" s="35">
        <f t="shared" si="47"/>
        <v>6.9244352449247468E-3</v>
      </c>
      <c r="I635" s="36">
        <f t="shared" si="48"/>
        <v>-1.7205380649894227E-3</v>
      </c>
    </row>
    <row r="636" spans="1:9" x14ac:dyDescent="0.3">
      <c r="A636" s="1">
        <v>630</v>
      </c>
      <c r="B636" s="27">
        <v>68610.703125</v>
      </c>
      <c r="C636" s="4">
        <v>338.687927</v>
      </c>
      <c r="D636" s="4">
        <v>314.26998900000001</v>
      </c>
      <c r="E636">
        <v>37837.390625</v>
      </c>
      <c r="F636" s="34">
        <f t="shared" si="45"/>
        <v>8.3998554594654808E-3</v>
      </c>
      <c r="G636" s="35">
        <f t="shared" si="46"/>
        <v>1.3265984840527159E-3</v>
      </c>
      <c r="H636" s="35">
        <f t="shared" si="47"/>
        <v>8.6283994893641813E-3</v>
      </c>
      <c r="I636" s="36">
        <f t="shared" si="48"/>
        <v>-1.2511820837997729E-3</v>
      </c>
    </row>
    <row r="637" spans="1:9" x14ac:dyDescent="0.3">
      <c r="A637" s="1">
        <v>631</v>
      </c>
      <c r="B637" s="27">
        <v>69930</v>
      </c>
      <c r="C637" s="4">
        <v>333.34878500000002</v>
      </c>
      <c r="D637" s="4">
        <v>320.45001200000002</v>
      </c>
      <c r="E637">
        <v>37483.878905999998</v>
      </c>
      <c r="F637" s="34">
        <f t="shared" si="45"/>
        <v>1.9046196923817427E-2</v>
      </c>
      <c r="G637" s="35">
        <f t="shared" si="46"/>
        <v>-1.5889769835086377E-2</v>
      </c>
      <c r="H637" s="35">
        <f t="shared" si="47"/>
        <v>1.9473841358273212E-2</v>
      </c>
      <c r="I637" s="36">
        <f t="shared" si="48"/>
        <v>-9.3868389881929127E-3</v>
      </c>
    </row>
    <row r="638" spans="1:9" x14ac:dyDescent="0.3">
      <c r="A638" s="1">
        <v>632</v>
      </c>
      <c r="B638" s="27">
        <v>71895</v>
      </c>
      <c r="C638" s="4">
        <v>340.25943000000001</v>
      </c>
      <c r="D638" s="4">
        <v>313.57000699999998</v>
      </c>
      <c r="E638">
        <v>36795.949219000002</v>
      </c>
      <c r="F638" s="34">
        <f t="shared" si="45"/>
        <v>2.7711979563928943E-2</v>
      </c>
      <c r="G638" s="35">
        <f t="shared" si="46"/>
        <v>2.0519011823360099E-2</v>
      </c>
      <c r="H638" s="35">
        <f t="shared" si="47"/>
        <v>-2.1703652439086424E-2</v>
      </c>
      <c r="I638" s="36">
        <f t="shared" si="48"/>
        <v>-1.8523181159183978E-2</v>
      </c>
    </row>
    <row r="639" spans="1:9" x14ac:dyDescent="0.3">
      <c r="A639" s="1">
        <v>633</v>
      </c>
      <c r="B639" s="27">
        <v>71983.101563000004</v>
      </c>
      <c r="C639" s="4">
        <v>334.25656099999998</v>
      </c>
      <c r="D639" s="4">
        <v>311</v>
      </c>
      <c r="E639">
        <v>36465.460937999997</v>
      </c>
      <c r="F639" s="34">
        <f t="shared" si="45"/>
        <v>1.2246696759863811E-3</v>
      </c>
      <c r="G639" s="35">
        <f t="shared" si="46"/>
        <v>-1.7799511253427349E-2</v>
      </c>
      <c r="H639" s="35">
        <f t="shared" si="47"/>
        <v>-8.2297307792543288E-3</v>
      </c>
      <c r="I639" s="36">
        <f t="shared" si="48"/>
        <v>-9.0222266297272542E-3</v>
      </c>
    </row>
    <row r="640" spans="1:9" x14ac:dyDescent="0.3">
      <c r="A640" s="1">
        <v>634</v>
      </c>
      <c r="B640" s="27">
        <v>70598.296875</v>
      </c>
      <c r="C640" s="4">
        <v>330.31323200000003</v>
      </c>
      <c r="D640" s="4">
        <v>309.58999599999999</v>
      </c>
      <c r="E640">
        <v>36389.390625</v>
      </c>
      <c r="F640" s="34">
        <f t="shared" si="45"/>
        <v>-1.9425370331041972E-2</v>
      </c>
      <c r="G640" s="35">
        <f t="shared" si="46"/>
        <v>-1.1867452664244401E-2</v>
      </c>
      <c r="H640" s="35">
        <f t="shared" si="47"/>
        <v>-4.5440836472260895E-3</v>
      </c>
      <c r="I640" s="36">
        <f t="shared" si="48"/>
        <v>-2.0882711037753933E-3</v>
      </c>
    </row>
    <row r="641" spans="1:9" x14ac:dyDescent="0.3">
      <c r="A641" s="1">
        <v>635</v>
      </c>
      <c r="B641" s="27">
        <v>68633.898438000004</v>
      </c>
      <c r="C641" s="4">
        <v>327.18975799999998</v>
      </c>
      <c r="D641" s="4">
        <v>307.79998799999998</v>
      </c>
      <c r="E641">
        <v>36190.910155999998</v>
      </c>
      <c r="F641" s="34">
        <f t="shared" si="45"/>
        <v>-2.8219461616369061E-2</v>
      </c>
      <c r="G641" s="35">
        <f t="shared" si="46"/>
        <v>-9.5010898626705625E-3</v>
      </c>
      <c r="H641" s="35">
        <f t="shared" si="47"/>
        <v>-5.7986461135846948E-3</v>
      </c>
      <c r="I641" s="36">
        <f t="shared" si="48"/>
        <v>-5.4692791742782096E-3</v>
      </c>
    </row>
    <row r="642" spans="1:9" x14ac:dyDescent="0.3">
      <c r="A642" s="1">
        <v>636</v>
      </c>
      <c r="B642" s="27">
        <v>67500.703125</v>
      </c>
      <c r="C642" s="4">
        <v>323.841858</v>
      </c>
      <c r="D642" s="4">
        <v>313.540009</v>
      </c>
      <c r="E642">
        <v>36590.261719000002</v>
      </c>
      <c r="F642" s="34">
        <f t="shared" si="45"/>
        <v>-1.6648544517381948E-2</v>
      </c>
      <c r="G642" s="35">
        <f t="shared" si="46"/>
        <v>-1.0284998238912307E-2</v>
      </c>
      <c r="H642" s="35">
        <f t="shared" si="47"/>
        <v>1.8476789926432768E-2</v>
      </c>
      <c r="I642" s="36">
        <f t="shared" si="48"/>
        <v>1.0974145114494738E-2</v>
      </c>
    </row>
    <row r="643" spans="1:9" x14ac:dyDescent="0.3">
      <c r="A643" s="1">
        <v>637</v>
      </c>
      <c r="B643" s="27">
        <v>67521.296875</v>
      </c>
      <c r="C643" s="4">
        <v>321.96777300000002</v>
      </c>
      <c r="D643" s="4">
        <v>319.51998900000001</v>
      </c>
      <c r="E643">
        <v>36465.671875</v>
      </c>
      <c r="F643" s="34">
        <f t="shared" si="45"/>
        <v>3.050428842662164E-4</v>
      </c>
      <c r="G643" s="35">
        <f t="shared" si="46"/>
        <v>-5.8038473590190593E-3</v>
      </c>
      <c r="H643" s="35">
        <f t="shared" si="47"/>
        <v>1.8892862896008382E-2</v>
      </c>
      <c r="I643" s="36">
        <f t="shared" si="48"/>
        <v>-3.4108102834836639E-3</v>
      </c>
    </row>
    <row r="644" spans="1:9" x14ac:dyDescent="0.3">
      <c r="A644" s="1">
        <v>638</v>
      </c>
      <c r="B644" s="27">
        <v>66915.5</v>
      </c>
      <c r="C644" s="4">
        <v>321.44070399999998</v>
      </c>
      <c r="D644" s="4">
        <v>329.22000100000002</v>
      </c>
      <c r="E644">
        <v>36327.839844000002</v>
      </c>
      <c r="F644" s="34">
        <f t="shared" si="45"/>
        <v>-9.0124279885615624E-3</v>
      </c>
      <c r="G644" s="35">
        <f t="shared" si="46"/>
        <v>-1.6383654761776291E-3</v>
      </c>
      <c r="H644" s="35">
        <f t="shared" si="47"/>
        <v>2.9906388095557113E-2</v>
      </c>
      <c r="I644" s="36">
        <f t="shared" si="48"/>
        <v>-3.7869362932092783E-3</v>
      </c>
    </row>
    <row r="645" spans="1:9" x14ac:dyDescent="0.3">
      <c r="A645" s="1">
        <v>639</v>
      </c>
      <c r="B645" s="27">
        <v>71890.101563000004</v>
      </c>
      <c r="C645" s="4">
        <v>314.266571</v>
      </c>
      <c r="D645" s="4">
        <v>325.39001500000001</v>
      </c>
      <c r="E645">
        <v>36323.691405999998</v>
      </c>
      <c r="F645" s="34">
        <f t="shared" si="45"/>
        <v>7.1707956363778927E-2</v>
      </c>
      <c r="G645" s="35">
        <f t="shared" si="46"/>
        <v>-2.2571513227144947E-2</v>
      </c>
      <c r="H645" s="35">
        <f t="shared" si="47"/>
        <v>-1.1701714332675224E-2</v>
      </c>
      <c r="I645" s="36">
        <f t="shared" si="48"/>
        <v>-1.1420097919861542E-4</v>
      </c>
    </row>
    <row r="646" spans="1:9" x14ac:dyDescent="0.3">
      <c r="A646" s="1">
        <v>640</v>
      </c>
      <c r="B646" s="27">
        <v>70193.5</v>
      </c>
      <c r="C646" s="4">
        <v>309.88400300000001</v>
      </c>
      <c r="D646" s="4">
        <v>323.33999599999999</v>
      </c>
      <c r="E646">
        <v>36881.671875</v>
      </c>
      <c r="F646" s="34">
        <f t="shared" si="45"/>
        <v>-2.3882871598167037E-2</v>
      </c>
      <c r="G646" s="35">
        <f t="shared" si="46"/>
        <v>-1.4043534397460365E-2</v>
      </c>
      <c r="H646" s="35">
        <f t="shared" si="47"/>
        <v>-6.3201202011651698E-3</v>
      </c>
      <c r="I646" s="36">
        <f t="shared" si="48"/>
        <v>1.5244546300821492E-2</v>
      </c>
    </row>
    <row r="647" spans="1:9" x14ac:dyDescent="0.3">
      <c r="A647" s="1">
        <v>641</v>
      </c>
      <c r="B647" s="27">
        <v>69125</v>
      </c>
      <c r="C647" s="4">
        <v>313.80779999999999</v>
      </c>
      <c r="D647" s="4">
        <v>330.10000600000001</v>
      </c>
      <c r="E647">
        <v>37447.101562999997</v>
      </c>
      <c r="F647" s="34">
        <f t="shared" si="45"/>
        <v>-1.533925430971524E-2</v>
      </c>
      <c r="G647" s="35">
        <f t="shared" si="46"/>
        <v>1.2582653002599389E-2</v>
      </c>
      <c r="H647" s="35">
        <f t="shared" si="47"/>
        <v>2.0691268232876207E-2</v>
      </c>
      <c r="I647" s="36">
        <f t="shared" si="48"/>
        <v>1.5214581624514166E-2</v>
      </c>
    </row>
    <row r="648" spans="1:9" x14ac:dyDescent="0.3">
      <c r="A648" s="1">
        <v>642</v>
      </c>
      <c r="B648" s="27">
        <v>67214.796875</v>
      </c>
      <c r="C648" s="4">
        <v>309.66924999999998</v>
      </c>
      <c r="D648" s="4">
        <v>335.07000699999998</v>
      </c>
      <c r="E648">
        <v>37433.300780999998</v>
      </c>
      <c r="F648" s="34">
        <f t="shared" ref="F648:F674" si="49">LN(B648/B647)</f>
        <v>-2.8023044959743761E-2</v>
      </c>
      <c r="G648" s="35">
        <f t="shared" ref="G648:G674" si="50">LN(C648/C647)</f>
        <v>-1.3275904172086243E-2</v>
      </c>
      <c r="H648" s="35">
        <f t="shared" ref="H648:H674" si="51">LN(D648/D647)</f>
        <v>1.494382907654427E-2</v>
      </c>
      <c r="I648" s="36">
        <f t="shared" ref="I648:I674" si="52">LN(E648/E647)</f>
        <v>-3.6860865391351316E-4</v>
      </c>
    </row>
    <row r="649" spans="1:9" x14ac:dyDescent="0.3">
      <c r="A649" s="1">
        <v>643</v>
      </c>
      <c r="B649" s="27">
        <v>66980</v>
      </c>
      <c r="C649" s="4">
        <v>313.74923699999999</v>
      </c>
      <c r="D649" s="4">
        <v>345.02999899999998</v>
      </c>
      <c r="E649">
        <v>37357.460937999997</v>
      </c>
      <c r="F649" s="34">
        <f t="shared" si="49"/>
        <v>-3.4993475166965964E-3</v>
      </c>
      <c r="G649" s="35">
        <f t="shared" si="50"/>
        <v>1.3089266156042478E-2</v>
      </c>
      <c r="H649" s="35">
        <f t="shared" si="51"/>
        <v>2.9291880762299296E-2</v>
      </c>
      <c r="I649" s="36">
        <f t="shared" si="52"/>
        <v>-2.0280544615678023E-3</v>
      </c>
    </row>
    <row r="650" spans="1:9" x14ac:dyDescent="0.3">
      <c r="A650" s="1">
        <v>644</v>
      </c>
      <c r="B650" s="27">
        <v>67354</v>
      </c>
      <c r="C650" s="4">
        <v>302.37799100000001</v>
      </c>
      <c r="D650" s="4">
        <v>340.42999300000002</v>
      </c>
      <c r="E650">
        <v>37742.140625</v>
      </c>
      <c r="F650" s="34">
        <f t="shared" si="49"/>
        <v>5.5682249665167886E-3</v>
      </c>
      <c r="G650" s="35">
        <f t="shared" si="50"/>
        <v>-3.691619799847641E-2</v>
      </c>
      <c r="H650" s="35">
        <f t="shared" si="51"/>
        <v>-1.3421863010803548E-2</v>
      </c>
      <c r="I650" s="36">
        <f t="shared" si="52"/>
        <v>1.0244609648982406E-2</v>
      </c>
    </row>
    <row r="651" spans="1:9" x14ac:dyDescent="0.3">
      <c r="A651" s="1">
        <v>645</v>
      </c>
      <c r="B651" s="27">
        <v>65983.898438000004</v>
      </c>
      <c r="C651" s="4">
        <v>310.21585099999999</v>
      </c>
      <c r="D651" s="4">
        <v>344.07000699999998</v>
      </c>
      <c r="E651">
        <v>37771.210937999997</v>
      </c>
      <c r="F651" s="34">
        <f t="shared" si="49"/>
        <v>-2.0551543130584195E-2</v>
      </c>
      <c r="G651" s="35">
        <f t="shared" si="50"/>
        <v>2.5590488155643975E-2</v>
      </c>
      <c r="H651" s="35">
        <f t="shared" si="51"/>
        <v>1.0635641525740539E-2</v>
      </c>
      <c r="I651" s="36">
        <f t="shared" si="52"/>
        <v>7.6993839723369251E-4</v>
      </c>
    </row>
    <row r="652" spans="1:9" x14ac:dyDescent="0.3">
      <c r="A652" s="1">
        <v>646</v>
      </c>
      <c r="B652" s="27">
        <v>66606</v>
      </c>
      <c r="C652" s="4">
        <v>308.39059400000002</v>
      </c>
      <c r="D652" s="4">
        <v>344.79998799999998</v>
      </c>
      <c r="E652">
        <v>37720.839844000002</v>
      </c>
      <c r="F652" s="34">
        <f t="shared" si="49"/>
        <v>9.383914376574003E-3</v>
      </c>
      <c r="G652" s="35">
        <f t="shared" si="50"/>
        <v>-5.9012068551260056E-3</v>
      </c>
      <c r="H652" s="35">
        <f t="shared" si="51"/>
        <v>2.1193585975154295E-3</v>
      </c>
      <c r="I652" s="36">
        <f t="shared" si="52"/>
        <v>-1.3344743175838266E-3</v>
      </c>
    </row>
    <row r="653" spans="1:9" x14ac:dyDescent="0.3">
      <c r="A653" s="1">
        <v>647</v>
      </c>
      <c r="B653" s="27">
        <v>67678.601563000004</v>
      </c>
      <c r="C653" s="4">
        <v>302.55367999999999</v>
      </c>
      <c r="D653" s="4">
        <v>336.98001099999999</v>
      </c>
      <c r="E653">
        <v>37136.78125</v>
      </c>
      <c r="F653" s="34">
        <f t="shared" si="49"/>
        <v>1.5975389020706214E-2</v>
      </c>
      <c r="G653" s="35">
        <f t="shared" si="50"/>
        <v>-1.9108425599413011E-2</v>
      </c>
      <c r="H653" s="35">
        <f t="shared" si="51"/>
        <v>-2.2940889933627733E-2</v>
      </c>
      <c r="I653" s="36">
        <f t="shared" si="52"/>
        <v>-1.5604835886287249E-2</v>
      </c>
    </row>
    <row r="654" spans="1:9" x14ac:dyDescent="0.3">
      <c r="A654" s="1">
        <v>648</v>
      </c>
      <c r="B654" s="27">
        <v>70390.296875</v>
      </c>
      <c r="C654" s="4">
        <v>308.44915800000001</v>
      </c>
      <c r="D654" s="4">
        <v>331.58999599999999</v>
      </c>
      <c r="E654">
        <v>37019.679687999997</v>
      </c>
      <c r="F654" s="34">
        <f t="shared" si="49"/>
        <v>3.9285372585394052E-2</v>
      </c>
      <c r="G654" s="35">
        <f t="shared" si="50"/>
        <v>1.9298309600844762E-2</v>
      </c>
      <c r="H654" s="35">
        <f t="shared" si="51"/>
        <v>-1.6124360125241818E-2</v>
      </c>
      <c r="I654" s="36">
        <f t="shared" si="52"/>
        <v>-3.1582321446813788E-3</v>
      </c>
    </row>
    <row r="655" spans="1:9" x14ac:dyDescent="0.3">
      <c r="A655" s="1">
        <v>649</v>
      </c>
      <c r="B655" s="27">
        <v>70640.5</v>
      </c>
      <c r="C655" s="4">
        <v>313.38809199999997</v>
      </c>
      <c r="D655" s="4">
        <v>339.459991</v>
      </c>
      <c r="E655">
        <v>37546.71875</v>
      </c>
      <c r="F655" s="34">
        <f t="shared" si="49"/>
        <v>3.5482092286846486E-3</v>
      </c>
      <c r="G655" s="35">
        <f t="shared" si="50"/>
        <v>1.5885307155020168E-2</v>
      </c>
      <c r="H655" s="35">
        <f t="shared" si="51"/>
        <v>2.3456839292804597E-2</v>
      </c>
      <c r="I655" s="36">
        <f t="shared" si="52"/>
        <v>1.4136336199489313E-2</v>
      </c>
    </row>
    <row r="656" spans="1:9" x14ac:dyDescent="0.3">
      <c r="A656" s="1">
        <v>650</v>
      </c>
      <c r="B656" s="27">
        <v>71030.398438000004</v>
      </c>
      <c r="C656" s="4">
        <v>311.96301299999999</v>
      </c>
      <c r="D656" s="4">
        <v>336.38000499999998</v>
      </c>
      <c r="E656">
        <v>37466.949219000002</v>
      </c>
      <c r="F656" s="34">
        <f t="shared" si="49"/>
        <v>5.5042980132699593E-3</v>
      </c>
      <c r="G656" s="35">
        <f t="shared" si="50"/>
        <v>-4.5577003238395884E-3</v>
      </c>
      <c r="H656" s="35">
        <f t="shared" si="51"/>
        <v>-9.1146050572599255E-3</v>
      </c>
      <c r="I656" s="36">
        <f t="shared" si="52"/>
        <v>-2.1268007078735609E-3</v>
      </c>
    </row>
    <row r="657" spans="1:9" x14ac:dyDescent="0.3">
      <c r="A657" s="1">
        <v>651</v>
      </c>
      <c r="B657" s="27">
        <v>71569.796875</v>
      </c>
      <c r="C657" s="4">
        <v>315.64282200000002</v>
      </c>
      <c r="D657" s="4">
        <v>338.67001299999998</v>
      </c>
      <c r="E657">
        <v>37901.960937999997</v>
      </c>
      <c r="F657" s="34">
        <f t="shared" si="49"/>
        <v>7.5652211893571138E-3</v>
      </c>
      <c r="G657" s="35">
        <f t="shared" si="50"/>
        <v>1.1726631472887911E-2</v>
      </c>
      <c r="H657" s="35">
        <f t="shared" si="51"/>
        <v>6.7847321635850178E-3</v>
      </c>
      <c r="I657" s="36">
        <f t="shared" si="52"/>
        <v>1.1543660343413156E-2</v>
      </c>
    </row>
    <row r="658" spans="1:9" x14ac:dyDescent="0.3">
      <c r="A658" s="1">
        <v>652</v>
      </c>
      <c r="B658" s="27">
        <v>72110</v>
      </c>
      <c r="C658" s="4">
        <v>308.36132800000001</v>
      </c>
      <c r="D658" s="4">
        <v>344.11999500000002</v>
      </c>
      <c r="E658">
        <v>37998.339844000002</v>
      </c>
      <c r="F658" s="34">
        <f t="shared" si="49"/>
        <v>7.5195773126912379E-3</v>
      </c>
      <c r="G658" s="35">
        <f t="shared" si="50"/>
        <v>-2.3339025941721128E-2</v>
      </c>
      <c r="H658" s="35">
        <f t="shared" si="51"/>
        <v>1.596419889631872E-2</v>
      </c>
      <c r="I658" s="36">
        <f t="shared" si="52"/>
        <v>2.539619917392124E-3</v>
      </c>
    </row>
    <row r="659" spans="1:9" x14ac:dyDescent="0.3">
      <c r="A659" s="1">
        <v>653</v>
      </c>
      <c r="B659" s="27">
        <v>70660.898438000004</v>
      </c>
      <c r="C659" s="4">
        <v>316.19918799999999</v>
      </c>
      <c r="D659" s="4">
        <v>345.92999300000002</v>
      </c>
      <c r="E659">
        <v>38005</v>
      </c>
      <c r="F659" s="34">
        <f t="shared" si="49"/>
        <v>-2.0300374133697025E-2</v>
      </c>
      <c r="G659" s="35">
        <f t="shared" si="50"/>
        <v>2.510011854078702E-2</v>
      </c>
      <c r="H659" s="35">
        <f t="shared" si="51"/>
        <v>5.2460029924946425E-3</v>
      </c>
      <c r="I659" s="36">
        <f t="shared" si="52"/>
        <v>1.7525956176961321E-4</v>
      </c>
    </row>
    <row r="660" spans="1:9" x14ac:dyDescent="0.3">
      <c r="A660" s="1">
        <v>654</v>
      </c>
      <c r="B660" s="27">
        <v>70625</v>
      </c>
      <c r="C660" s="4">
        <v>309.07385299999999</v>
      </c>
      <c r="D660" s="4">
        <v>343.57998700000002</v>
      </c>
      <c r="E660">
        <v>38289.761719000002</v>
      </c>
      <c r="F660" s="34">
        <f t="shared" si="49"/>
        <v>-5.08167328366116E-4</v>
      </c>
      <c r="G660" s="35">
        <f t="shared" si="50"/>
        <v>-2.2792101964393789E-2</v>
      </c>
      <c r="H660" s="35">
        <f t="shared" si="51"/>
        <v>-6.8164788544217234E-3</v>
      </c>
      <c r="I660" s="36">
        <f t="shared" si="52"/>
        <v>7.4648123909847944E-3</v>
      </c>
    </row>
    <row r="661" spans="1:9" x14ac:dyDescent="0.3">
      <c r="A661" s="1">
        <v>655</v>
      </c>
      <c r="B661" s="27">
        <v>69658</v>
      </c>
      <c r="C661" s="4">
        <v>305.50140399999998</v>
      </c>
      <c r="D661" s="4">
        <v>345.16000400000001</v>
      </c>
      <c r="E661">
        <v>38703.589844000002</v>
      </c>
      <c r="F661" s="34">
        <f t="shared" si="49"/>
        <v>-1.3786635822339152E-2</v>
      </c>
      <c r="G661" s="35">
        <f t="shared" si="50"/>
        <v>-1.1625880466970231E-2</v>
      </c>
      <c r="H661" s="35">
        <f t="shared" si="51"/>
        <v>4.5881458675301962E-3</v>
      </c>
      <c r="I661" s="36">
        <f t="shared" si="52"/>
        <v>1.0749814151601525E-2</v>
      </c>
    </row>
    <row r="662" spans="1:9" x14ac:dyDescent="0.3">
      <c r="A662" s="1">
        <v>656</v>
      </c>
      <c r="B662" s="27">
        <v>70350</v>
      </c>
      <c r="C662" s="4">
        <v>301.08956899999998</v>
      </c>
      <c r="D662" s="4">
        <v>341.17999300000002</v>
      </c>
      <c r="E662">
        <v>38634.101562999997</v>
      </c>
      <c r="F662" s="34">
        <f t="shared" si="49"/>
        <v>9.8852299161322297E-3</v>
      </c>
      <c r="G662" s="35">
        <f t="shared" si="50"/>
        <v>-1.4546582433919639E-2</v>
      </c>
      <c r="H662" s="35">
        <f t="shared" si="51"/>
        <v>-1.1597912493590865E-2</v>
      </c>
      <c r="I662" s="36">
        <f t="shared" si="52"/>
        <v>-1.7970099297085929E-3</v>
      </c>
    </row>
    <row r="663" spans="1:9" x14ac:dyDescent="0.3">
      <c r="A663" s="1">
        <v>657</v>
      </c>
      <c r="B663" s="27">
        <v>70050</v>
      </c>
      <c r="C663" s="4">
        <v>300.43557700000002</v>
      </c>
      <c r="D663" s="4">
        <v>344.38000499999998</v>
      </c>
      <c r="E663">
        <v>38615.621094000002</v>
      </c>
      <c r="F663" s="34">
        <f t="shared" si="49"/>
        <v>-4.2735107773820497E-3</v>
      </c>
      <c r="G663" s="35">
        <f t="shared" si="50"/>
        <v>-2.174446943851418E-3</v>
      </c>
      <c r="H663" s="35">
        <f t="shared" si="51"/>
        <v>9.3355366415409872E-3</v>
      </c>
      <c r="I663" s="36">
        <f t="shared" si="52"/>
        <v>-4.7846047123304705E-4</v>
      </c>
    </row>
    <row r="664" spans="1:9" x14ac:dyDescent="0.3">
      <c r="A664" s="1">
        <v>658</v>
      </c>
      <c r="B664" s="27">
        <v>69010</v>
      </c>
      <c r="C664" s="4">
        <v>308.24417099999999</v>
      </c>
      <c r="D664" s="4">
        <v>355.44000199999999</v>
      </c>
      <c r="E664">
        <v>38949.878905999998</v>
      </c>
      <c r="F664" s="34">
        <f t="shared" si="49"/>
        <v>-1.4957851150505585E-2</v>
      </c>
      <c r="G664" s="35">
        <f t="shared" si="50"/>
        <v>2.5658886921989459E-2</v>
      </c>
      <c r="H664" s="35">
        <f t="shared" si="51"/>
        <v>3.161075087759653E-2</v>
      </c>
      <c r="I664" s="36">
        <f t="shared" si="52"/>
        <v>8.6187771920706088E-3</v>
      </c>
    </row>
    <row r="665" spans="1:9" x14ac:dyDescent="0.3">
      <c r="A665" s="1">
        <v>659</v>
      </c>
      <c r="B665" s="27">
        <v>70850.796875</v>
      </c>
      <c r="C665" s="4">
        <v>300.718658</v>
      </c>
      <c r="D665" s="4">
        <v>346.32000699999998</v>
      </c>
      <c r="E665">
        <v>39285.851562999997</v>
      </c>
      <c r="F665" s="34">
        <f t="shared" si="49"/>
        <v>2.6324791794491775E-2</v>
      </c>
      <c r="G665" s="35">
        <f t="shared" si="50"/>
        <v>-2.4717095267061683E-2</v>
      </c>
      <c r="H665" s="35">
        <f t="shared" si="51"/>
        <v>-2.5993240908236674E-2</v>
      </c>
      <c r="I665" s="36">
        <f t="shared" si="52"/>
        <v>8.5887795843427681E-3</v>
      </c>
    </row>
    <row r="666" spans="1:9" x14ac:dyDescent="0.3">
      <c r="A666" s="1">
        <v>660</v>
      </c>
      <c r="B666" s="27">
        <v>73427.101563000004</v>
      </c>
      <c r="C666" s="4">
        <v>295.85778800000003</v>
      </c>
      <c r="D666" s="4">
        <v>339.47000100000002</v>
      </c>
      <c r="E666">
        <v>39087.351562999997</v>
      </c>
      <c r="F666" s="34">
        <f t="shared" si="49"/>
        <v>3.5716885147980583E-2</v>
      </c>
      <c r="G666" s="35">
        <f t="shared" si="50"/>
        <v>-1.6296243695946126E-2</v>
      </c>
      <c r="H666" s="35">
        <f t="shared" si="51"/>
        <v>-1.9977642549168246E-2</v>
      </c>
      <c r="I666" s="36">
        <f t="shared" si="52"/>
        <v>-5.0655177160766332E-3</v>
      </c>
    </row>
    <row r="667" spans="1:9" x14ac:dyDescent="0.3">
      <c r="A667" s="1">
        <v>661</v>
      </c>
      <c r="B667" s="27">
        <v>72363.5</v>
      </c>
      <c r="C667" s="4">
        <v>293.144318</v>
      </c>
      <c r="D667" s="4">
        <v>326.94000199999999</v>
      </c>
      <c r="E667">
        <v>39021.921875</v>
      </c>
      <c r="F667" s="34">
        <f t="shared" si="49"/>
        <v>-1.4591069952856519E-2</v>
      </c>
      <c r="G667" s="35">
        <f t="shared" si="50"/>
        <v>-9.2138522732520614E-3</v>
      </c>
      <c r="H667" s="35">
        <f t="shared" si="51"/>
        <v>-3.7608906856684464E-2</v>
      </c>
      <c r="I667" s="36">
        <f t="shared" si="52"/>
        <v>-1.6753376500345508E-3</v>
      </c>
    </row>
    <row r="668" spans="1:9" x14ac:dyDescent="0.3">
      <c r="A668" s="1">
        <v>662</v>
      </c>
      <c r="B668" s="27">
        <v>73122</v>
      </c>
      <c r="C668" s="4">
        <v>301.76306199999999</v>
      </c>
      <c r="D668" s="4">
        <v>334.88000499999998</v>
      </c>
      <c r="E668">
        <v>38707.238280999998</v>
      </c>
      <c r="F668" s="34">
        <f t="shared" si="49"/>
        <v>1.0427250447293991E-2</v>
      </c>
      <c r="G668" s="35">
        <f t="shared" si="50"/>
        <v>2.8977105876679482E-2</v>
      </c>
      <c r="H668" s="35">
        <f t="shared" si="51"/>
        <v>2.3995599688018506E-2</v>
      </c>
      <c r="I668" s="36">
        <f t="shared" si="52"/>
        <v>-8.0969693384531118E-3</v>
      </c>
    </row>
    <row r="669" spans="1:9" x14ac:dyDescent="0.3">
      <c r="A669" s="1">
        <v>663</v>
      </c>
      <c r="B669" s="27">
        <v>72150</v>
      </c>
      <c r="C669" s="4">
        <v>305.15002399999997</v>
      </c>
      <c r="D669" s="4">
        <v>335.66000400000001</v>
      </c>
      <c r="E669">
        <v>38095.878905999998</v>
      </c>
      <c r="F669" s="34">
        <f t="shared" si="49"/>
        <v>-1.3381993849540424E-2</v>
      </c>
      <c r="G669" s="35">
        <f t="shared" si="50"/>
        <v>1.1161391109936948E-2</v>
      </c>
      <c r="H669" s="35">
        <f t="shared" si="51"/>
        <v>2.3264811684428639E-3</v>
      </c>
      <c r="I669" s="36">
        <f t="shared" si="52"/>
        <v>-1.5920507145969546E-2</v>
      </c>
    </row>
    <row r="670" spans="1:9" x14ac:dyDescent="0.3">
      <c r="A670" s="1">
        <v>664</v>
      </c>
      <c r="B670" s="27">
        <v>72631.796875</v>
      </c>
      <c r="C670" s="4">
        <v>314.81317100000001</v>
      </c>
      <c r="D670" s="4">
        <v>348.04998799999998</v>
      </c>
      <c r="E670">
        <v>38029.621094000002</v>
      </c>
      <c r="F670" s="34">
        <f t="shared" si="49"/>
        <v>6.6555142133273197E-3</v>
      </c>
      <c r="G670" s="35">
        <f t="shared" si="50"/>
        <v>3.1175817290689595E-2</v>
      </c>
      <c r="H670" s="35">
        <f t="shared" si="51"/>
        <v>3.6247358340016245E-2</v>
      </c>
      <c r="I670" s="36">
        <f t="shared" si="52"/>
        <v>-1.7407525397220237E-3</v>
      </c>
    </row>
    <row r="671" spans="1:9" x14ac:dyDescent="0.3">
      <c r="A671" s="1">
        <v>665</v>
      </c>
      <c r="B671" s="27">
        <v>73355</v>
      </c>
      <c r="C671" s="4">
        <v>313.68090799999999</v>
      </c>
      <c r="D671" s="4">
        <v>348.60000600000001</v>
      </c>
      <c r="E671">
        <v>38249.898437999997</v>
      </c>
      <c r="F671" s="34">
        <f t="shared" si="49"/>
        <v>9.9078691584001434E-3</v>
      </c>
      <c r="G671" s="35">
        <f t="shared" si="50"/>
        <v>-3.6031022814210917E-3</v>
      </c>
      <c r="H671" s="35">
        <f t="shared" si="51"/>
        <v>1.5790371607543737E-3</v>
      </c>
      <c r="I671" s="36">
        <f t="shared" si="52"/>
        <v>5.7755465075272731E-3</v>
      </c>
    </row>
    <row r="672" spans="1:9" x14ac:dyDescent="0.3">
      <c r="A672" s="1">
        <v>666</v>
      </c>
      <c r="B672" s="27">
        <v>75593.101563000004</v>
      </c>
      <c r="C672" s="4">
        <v>317.26312300000001</v>
      </c>
      <c r="D672" s="4">
        <v>349.82000699999998</v>
      </c>
      <c r="E672">
        <v>37753.039062999997</v>
      </c>
      <c r="F672" s="34">
        <f t="shared" si="49"/>
        <v>3.0054361263754777E-2</v>
      </c>
      <c r="G672" s="35">
        <f t="shared" si="50"/>
        <v>1.1355217943597356E-2</v>
      </c>
      <c r="H672" s="35">
        <f t="shared" si="51"/>
        <v>3.4936061915834824E-3</v>
      </c>
      <c r="I672" s="36">
        <f t="shared" si="52"/>
        <v>-1.3074927618519321E-2</v>
      </c>
    </row>
    <row r="673" spans="1:9" x14ac:dyDescent="0.3">
      <c r="A673" s="1">
        <v>667</v>
      </c>
      <c r="B673" s="27">
        <v>75650</v>
      </c>
      <c r="C673" s="4">
        <v>322.20205700000002</v>
      </c>
      <c r="D673" s="4">
        <v>353.66000400000001</v>
      </c>
      <c r="E673">
        <v>37647.191405999998</v>
      </c>
      <c r="F673" s="34">
        <f t="shared" si="49"/>
        <v>7.5241037900267236E-4</v>
      </c>
      <c r="G673" s="35">
        <f t="shared" si="50"/>
        <v>1.5447384362679381E-2</v>
      </c>
      <c r="H673" s="35">
        <f t="shared" si="51"/>
        <v>1.0917254447921408E-2</v>
      </c>
      <c r="I673" s="36">
        <f t="shared" si="52"/>
        <v>-2.8076234216389182E-3</v>
      </c>
    </row>
    <row r="674" spans="1:9" ht="15" thickBot="1" x14ac:dyDescent="0.35">
      <c r="A674" s="1">
        <v>668</v>
      </c>
      <c r="B674" s="28">
        <v>73900</v>
      </c>
      <c r="C674" s="29">
        <v>315.67211900000001</v>
      </c>
      <c r="D674" s="29">
        <v>356.57000699999998</v>
      </c>
      <c r="E674" s="123">
        <v>37794.25</v>
      </c>
      <c r="F674" s="37">
        <f t="shared" si="49"/>
        <v>-2.3404612280208858E-2</v>
      </c>
      <c r="G674" s="38">
        <f t="shared" si="50"/>
        <v>-2.0474778147806679E-2</v>
      </c>
      <c r="H674" s="38">
        <f t="shared" si="51"/>
        <v>8.1945827100823754E-3</v>
      </c>
      <c r="I674" s="39">
        <f t="shared" si="52"/>
        <v>3.8986206393771794E-3</v>
      </c>
    </row>
  </sheetData>
  <mergeCells count="10">
    <mergeCell ref="P13:R13"/>
    <mergeCell ref="L3:O3"/>
    <mergeCell ref="Q24:R24"/>
    <mergeCell ref="Q16:T16"/>
    <mergeCell ref="K16:N16"/>
    <mergeCell ref="B4:E4"/>
    <mergeCell ref="F4:I4"/>
    <mergeCell ref="L9:O9"/>
    <mergeCell ref="F2:I2"/>
    <mergeCell ref="P7:R7"/>
  </mergeCells>
  <pageMargins left="0.7" right="0.7" top="0.75" bottom="0.75" header="0.3" footer="0.3"/>
  <pageSetup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Activo1</vt:lpstr>
      <vt:lpstr>Activo1_</vt:lpstr>
      <vt:lpstr>Portafolios</vt:lpstr>
      <vt:lpstr>M</vt:lpstr>
      <vt:lpstr>PT_Sharpe_Adj</vt:lpstr>
      <vt:lpstr>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Daniel Ramirez Santiago</dc:creator>
  <cp:lastModifiedBy>Marcos Daniel Ramirez Santiago</cp:lastModifiedBy>
  <dcterms:created xsi:type="dcterms:W3CDTF">2020-08-31T16:31:58Z</dcterms:created>
  <dcterms:modified xsi:type="dcterms:W3CDTF">2025-08-28T00:51:52Z</dcterms:modified>
</cp:coreProperties>
</file>