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3b0a4a2086520f/Documentos/MODULO4 G16/CLASE 5/"/>
    </mc:Choice>
  </mc:AlternateContent>
  <xr:revisionPtr revIDLastSave="15" documentId="8_{9843A817-9B67-456D-9070-7BE41958574D}" xr6:coauthVersionLast="47" xr6:coauthVersionMax="47" xr10:uidLastSave="{D39B8D6A-7C32-4403-B1FA-8A3763F8D481}"/>
  <bookViews>
    <workbookView minimized="1" xWindow="705" yWindow="705" windowWidth="14400" windowHeight="8183" xr2:uid="{75A966EC-AD9C-46EF-A57E-EA2E04D7FE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T18" i="1"/>
  <c r="T8" i="1"/>
  <c r="T10" i="1"/>
  <c r="D4" i="1"/>
  <c r="E4" i="1"/>
  <c r="F4" i="1"/>
  <c r="G4" i="1"/>
  <c r="H4" i="1"/>
  <c r="I4" i="1"/>
  <c r="J4" i="1"/>
  <c r="L4" i="1"/>
  <c r="M4" i="1"/>
  <c r="N4" i="1"/>
  <c r="O4" i="1"/>
  <c r="P4" i="1"/>
  <c r="Q4" i="1"/>
  <c r="R4" i="1"/>
  <c r="S4" i="1"/>
  <c r="U8" i="1"/>
  <c r="V8" i="1"/>
  <c r="W8" i="1"/>
  <c r="X8" i="1"/>
  <c r="Y8" i="1"/>
  <c r="Z8" i="1"/>
  <c r="AA8" i="1"/>
  <c r="AB8" i="1"/>
  <c r="K4" i="1" s="1"/>
  <c r="AC8" i="1"/>
  <c r="AD8" i="1"/>
  <c r="AE8" i="1"/>
  <c r="AF8" i="1"/>
  <c r="AG8" i="1"/>
  <c r="AH8" i="1"/>
  <c r="AI8" i="1"/>
  <c r="AJ8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T9" i="1"/>
  <c r="T11" i="1"/>
  <c r="T12" i="1"/>
  <c r="T13" i="1"/>
  <c r="T14" i="1"/>
  <c r="T15" i="1"/>
  <c r="T16" i="1"/>
  <c r="T17" i="1"/>
  <c r="T19" i="1"/>
  <c r="T20" i="1"/>
  <c r="T21" i="1"/>
  <c r="T22" i="1"/>
  <c r="T23" i="1"/>
  <c r="T24" i="1"/>
  <c r="T25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8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C3" i="1"/>
  <c r="F2" i="1"/>
  <c r="G2" i="1"/>
  <c r="H2" i="1"/>
  <c r="I2" i="1"/>
  <c r="J2" i="1"/>
  <c r="L2" i="1"/>
  <c r="M2" i="1"/>
  <c r="N2" i="1"/>
  <c r="O2" i="1"/>
  <c r="P2" i="1"/>
  <c r="Q2" i="1"/>
  <c r="R2" i="1"/>
  <c r="S2" i="1"/>
  <c r="D2" i="1"/>
  <c r="E2" i="1"/>
  <c r="C2" i="1"/>
  <c r="C4" i="1" l="1"/>
</calcChain>
</file>

<file path=xl/sharedStrings.xml><?xml version="1.0" encoding="utf-8"?>
<sst xmlns="http://schemas.openxmlformats.org/spreadsheetml/2006/main" count="40" uniqueCount="40">
  <si>
    <t>Dosis mg</t>
  </si>
  <si>
    <t>Efectividad</t>
  </si>
  <si>
    <t>HOJA IZQUIERDA</t>
  </si>
  <si>
    <t>HOJA DERECHA</t>
  </si>
  <si>
    <t>PREDICCION3</t>
  </si>
  <si>
    <t>PREDICCION7</t>
  </si>
  <si>
    <t>PREDICCION8.5</t>
  </si>
  <si>
    <t>PREDICCION9.5</t>
  </si>
  <si>
    <t>PREDICCION11.5</t>
  </si>
  <si>
    <t>PREDICCION14</t>
  </si>
  <si>
    <t>PREDICCION16.5</t>
  </si>
  <si>
    <t>PREDICCION19</t>
  </si>
  <si>
    <t>PREDICCION22.5</t>
  </si>
  <si>
    <t>PREDICCION25.5</t>
  </si>
  <si>
    <t>PREDICCION26.5</t>
  </si>
  <si>
    <t>PREDICCION27.5</t>
  </si>
  <si>
    <t>PREDICCION28.5</t>
  </si>
  <si>
    <t>PREDICCION29.5</t>
  </si>
  <si>
    <t>PREDICCION32.5</t>
  </si>
  <si>
    <t>PREDICCION36</t>
  </si>
  <si>
    <t>PREDICCION38.5</t>
  </si>
  <si>
    <t>ERROR3</t>
  </si>
  <si>
    <t>ERROR7</t>
  </si>
  <si>
    <t>ERROR8.5</t>
  </si>
  <si>
    <t>ERROR9.5</t>
  </si>
  <si>
    <t>ERROR11.5</t>
  </si>
  <si>
    <t>ERROR14</t>
  </si>
  <si>
    <t>ERROR16.5</t>
  </si>
  <si>
    <t>ERROR19</t>
  </si>
  <si>
    <t>ERROR22.5</t>
  </si>
  <si>
    <t>ERROR25.5</t>
  </si>
  <si>
    <t>ERROR26.5</t>
  </si>
  <si>
    <t>ERROR27.5</t>
  </si>
  <si>
    <t>ERROR28.5</t>
  </si>
  <si>
    <t>ERROR29.5</t>
  </si>
  <si>
    <t>ERROR32.5</t>
  </si>
  <si>
    <t>ERROR36</t>
  </si>
  <si>
    <t>ERROR38.5</t>
  </si>
  <si>
    <t>ERROR CUADRATICO</t>
  </si>
  <si>
    <t>DOSIS PROMEDIO (UMBRAL)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</si>
</sst>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DOSIS VS</a:t>
            </a:r>
            <a:r>
              <a:rPr lang="en-US" baseline="0"/>
              <a:t> EFECTIVIDAD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DOSIS PROMEDIO (UMBRAL)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Hoja1!$A$8:$A$25</c:f>
              <c:numCache>
                <c:formatCode>General</c:formatCode>
                <c:ptCount val="18"/>
                <c:pt idx="0">
                  <c:v>0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13</c:v>
                </c:pt>
                <c:pt idx="6">
                  <c:v>15</c:v>
                </c:pt>
                <c:pt idx="7">
                  <c:v>18</c:v>
                </c:pt>
                <c:pt idx="8">
                  <c:v>20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35</c:v>
                </c:pt>
                <c:pt idx="16">
                  <c:v>37</c:v>
                </c:pt>
                <c:pt idx="17">
                  <c:v>40</c:v>
                </c:pt>
              </c:numCache>
            </c:numRef>
          </c:xVal>
          <c:yVal>
            <c:numRef>
              <c:f>Hoja1!$B$8:$B$25</c:f>
              <c:numCache>
                <c:formatCode>General</c:formatCode>
                <c:ptCount val="18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0.06</c:v>
                </c:pt>
                <c:pt idx="4">
                  <c:v>0.1</c:v>
                </c:pt>
                <c:pt idx="5">
                  <c:v>0.24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0.7</c:v>
                </c:pt>
                <c:pt idx="11">
                  <c:v>0.65</c:v>
                </c:pt>
                <c:pt idx="12">
                  <c:v>0.6</c:v>
                </c:pt>
                <c:pt idx="13">
                  <c:v>0.55000000000000004</c:v>
                </c:pt>
                <c:pt idx="14">
                  <c:v>0.12</c:v>
                </c:pt>
                <c:pt idx="15">
                  <c:v>0.01</c:v>
                </c:pt>
                <c:pt idx="16">
                  <c:v>0.04</c:v>
                </c:pt>
                <c:pt idx="17">
                  <c:v>0.06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80-47A5-A5AF-BB81A6896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0068415"/>
        <c:axId val="1580236111"/>
      </c:scatterChart>
      <c:valAx>
        <c:axId val="157006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0236111"/>
        <c:crosses val="autoZero"/>
        <c:crossBetween val="midCat"/>
      </c:valAx>
      <c:valAx>
        <c:axId val="158023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0068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PROMEDIOS</a:t>
            </a:r>
            <a:r>
              <a:rPr lang="es-MX" baseline="0"/>
              <a:t> RAIZ VS ERROR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Hoja1!$C$1:$S$1</c:f>
              <c:numCache>
                <c:formatCode>General</c:formatCode>
                <c:ptCount val="17"/>
                <c:pt idx="0">
                  <c:v>3</c:v>
                </c:pt>
                <c:pt idx="1">
                  <c:v>7</c:v>
                </c:pt>
                <c:pt idx="2">
                  <c:v>8.5</c:v>
                </c:pt>
                <c:pt idx="3">
                  <c:v>9.5</c:v>
                </c:pt>
                <c:pt idx="4">
                  <c:v>11.5</c:v>
                </c:pt>
                <c:pt idx="5">
                  <c:v>14</c:v>
                </c:pt>
                <c:pt idx="6">
                  <c:v>16.5</c:v>
                </c:pt>
                <c:pt idx="7">
                  <c:v>19</c:v>
                </c:pt>
                <c:pt idx="8">
                  <c:v>22.5</c:v>
                </c:pt>
                <c:pt idx="9">
                  <c:v>25.5</c:v>
                </c:pt>
                <c:pt idx="10">
                  <c:v>26.5</c:v>
                </c:pt>
                <c:pt idx="11">
                  <c:v>27.5</c:v>
                </c:pt>
                <c:pt idx="12">
                  <c:v>28.5</c:v>
                </c:pt>
                <c:pt idx="13">
                  <c:v>29.5</c:v>
                </c:pt>
                <c:pt idx="14">
                  <c:v>32.5</c:v>
                </c:pt>
                <c:pt idx="15">
                  <c:v>36</c:v>
                </c:pt>
                <c:pt idx="16">
                  <c:v>38.5</c:v>
                </c:pt>
              </c:numCache>
            </c:numRef>
          </c:xVal>
          <c:yVal>
            <c:numRef>
              <c:f>Hoja1!$C$4:$S$4</c:f>
              <c:numCache>
                <c:formatCode>0.00</c:formatCode>
                <c:ptCount val="17"/>
                <c:pt idx="0">
                  <c:v>2.6351058823529412</c:v>
                </c:pt>
                <c:pt idx="1">
                  <c:v>2.4544937500000001</c:v>
                </c:pt>
                <c:pt idx="2">
                  <c:v>2.2776399999999999</c:v>
                </c:pt>
                <c:pt idx="3">
                  <c:v>2.0942250000000002</c:v>
                </c:pt>
                <c:pt idx="4">
                  <c:v>1.9217876923076924</c:v>
                </c:pt>
                <c:pt idx="5">
                  <c:v>1.8594416666666667</c:v>
                </c:pt>
                <c:pt idx="6">
                  <c:v>2.3824337662337665</c:v>
                </c:pt>
                <c:pt idx="7">
                  <c:v>2.6799974999999998</c:v>
                </c:pt>
                <c:pt idx="8">
                  <c:v>2.7992222222222227</c:v>
                </c:pt>
                <c:pt idx="9">
                  <c:v>2.7557375</c:v>
                </c:pt>
                <c:pt idx="10">
                  <c:v>2.6677636363636363</c:v>
                </c:pt>
                <c:pt idx="11">
                  <c:v>2.5468666666666668</c:v>
                </c:pt>
                <c:pt idx="12">
                  <c:v>2.3951507692307694</c:v>
                </c:pt>
                <c:pt idx="13">
                  <c:v>2.2041964285714282</c:v>
                </c:pt>
                <c:pt idx="14">
                  <c:v>2.3312400000000002</c:v>
                </c:pt>
                <c:pt idx="15">
                  <c:v>2.5297000000000001</c:v>
                </c:pt>
                <c:pt idx="16">
                  <c:v>2.6819764705882361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1-4520-B22D-8BEDDF1E7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859311"/>
        <c:axId val="1579820975"/>
      </c:scatterChart>
      <c:valAx>
        <c:axId val="2115859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79820975"/>
        <c:crosses val="autoZero"/>
        <c:crossBetween val="midCat"/>
      </c:valAx>
      <c:valAx>
        <c:axId val="157982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5859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69850</xdr:colOff>
      <xdr:row>26</xdr:row>
      <xdr:rowOff>57150</xdr:rowOff>
    </xdr:from>
    <xdr:to>
      <xdr:col>5</xdr:col>
      <xdr:colOff>501650</xdr:colOff>
      <xdr:row>41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879565F-FCAC-68C8-782D-3F0F1EB30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688975</xdr:colOff>
      <xdr:row>25</xdr:row>
      <xdr:rowOff>155575</xdr:rowOff>
    </xdr:from>
    <xdr:to>
      <xdr:col>14</xdr:col>
      <xdr:colOff>688975</xdr:colOff>
      <xdr:row>40</xdr:row>
      <xdr:rowOff>136525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5564CB2-C298-0FA2-F32A-85ECCB7FA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8DEA-BAAA-4BAF-A37F-D76151B84765}">
  <dimension ref="A1:AJ25"/>
  <sheetViews>
    <sheetView tabSelected="1" zoomScale="94" workbookViewId="0">
      <selection activeCell="G5" sqref="G5:H5"/>
    </sheetView>
  </sheetViews>
  <sheetFormatPr baseColWidth="10" defaultRowHeight="14.25" x14ac:dyDescent="0.45"/>
  <cols>
    <col min="2" max="2" width="24.73046875" bestFit="1" customWidth="1"/>
    <col min="3" max="3" width="19.265625" bestFit="1" customWidth="1"/>
    <col min="4" max="4" width="11.796875" bestFit="1" customWidth="1"/>
    <col min="5" max="6" width="13.33203125" bestFit="1" customWidth="1"/>
    <col min="7" max="7" width="14.33203125" bestFit="1" customWidth="1"/>
    <col min="8" max="8" width="13.06640625" bestFit="1" customWidth="1"/>
    <col min="19" max="19" width="14.59765625" bestFit="1" customWidth="1"/>
    <col min="20" max="20" width="18.265625" bestFit="1" customWidth="1"/>
  </cols>
  <sheetData>
    <row r="1" spans="1:36" x14ac:dyDescent="0.45">
      <c r="B1" t="s">
        <v>39</v>
      </c>
      <c r="C1">
        <v>3</v>
      </c>
      <c r="D1">
        <v>7</v>
      </c>
      <c r="E1">
        <v>8.5</v>
      </c>
      <c r="F1">
        <v>9.5</v>
      </c>
      <c r="G1">
        <v>11.5</v>
      </c>
      <c r="H1">
        <v>14</v>
      </c>
      <c r="I1">
        <v>16.5</v>
      </c>
      <c r="J1">
        <v>19</v>
      </c>
      <c r="K1">
        <v>22.5</v>
      </c>
      <c r="L1">
        <v>25.5</v>
      </c>
      <c r="M1">
        <v>26.5</v>
      </c>
      <c r="N1">
        <v>27.5</v>
      </c>
      <c r="O1">
        <v>28.5</v>
      </c>
      <c r="P1">
        <v>29.5</v>
      </c>
      <c r="Q1">
        <v>32.5</v>
      </c>
      <c r="R1">
        <v>36</v>
      </c>
      <c r="S1">
        <v>38.5</v>
      </c>
    </row>
    <row r="2" spans="1:36" x14ac:dyDescent="0.45">
      <c r="B2" t="s">
        <v>2</v>
      </c>
      <c r="C2">
        <f t="shared" ref="C2:S2" si="0">AVERAGEIF($A$8:$A$25, "&lt;"&amp;C1, $B$8:$B$25)</f>
        <v>0</v>
      </c>
      <c r="D2">
        <f t="shared" si="0"/>
        <v>5.0000000000000001E-3</v>
      </c>
      <c r="E2">
        <f t="shared" si="0"/>
        <v>1.6666666666666666E-2</v>
      </c>
      <c r="F2">
        <f t="shared" si="0"/>
        <v>2.75E-2</v>
      </c>
      <c r="G2">
        <f t="shared" si="0"/>
        <v>4.2000000000000003E-2</v>
      </c>
      <c r="H2">
        <f t="shared" si="0"/>
        <v>7.4999999999999997E-2</v>
      </c>
      <c r="I2">
        <f t="shared" si="0"/>
        <v>0.20714285714285713</v>
      </c>
      <c r="J2">
        <f t="shared" si="0"/>
        <v>0.30625000000000002</v>
      </c>
      <c r="K2">
        <f>AVERAGEIF($A$8:$A$25, "&lt;"&amp;K1, $B$8:$B$25)</f>
        <v>0.38333333333333336</v>
      </c>
      <c r="L2">
        <f t="shared" si="0"/>
        <v>0.44500000000000001</v>
      </c>
      <c r="M2">
        <f t="shared" si="0"/>
        <v>0.4681818181818182</v>
      </c>
      <c r="N2">
        <f t="shared" si="0"/>
        <v>0.48333333333333339</v>
      </c>
      <c r="O2">
        <f t="shared" si="0"/>
        <v>0.49230769230769234</v>
      </c>
      <c r="P2">
        <f t="shared" si="0"/>
        <v>0.49642857142857144</v>
      </c>
      <c r="Q2">
        <f t="shared" si="0"/>
        <v>0.47133333333333333</v>
      </c>
      <c r="R2">
        <f t="shared" si="0"/>
        <v>0.4425</v>
      </c>
      <c r="S2">
        <f t="shared" si="0"/>
        <v>0.41882352941176471</v>
      </c>
    </row>
    <row r="3" spans="1:36" x14ac:dyDescent="0.45">
      <c r="B3" t="s">
        <v>3</v>
      </c>
      <c r="C3">
        <f t="shared" ref="C3:S3" si="1">AVERAGEIF($A$8:$A$25, "&gt;"&amp;C1, $B$8:$B$25)</f>
        <v>0.4223529411764706</v>
      </c>
      <c r="D3">
        <f t="shared" si="1"/>
        <v>0.44812499999999994</v>
      </c>
      <c r="E3">
        <f t="shared" si="1"/>
        <v>0.47533333333333333</v>
      </c>
      <c r="F3">
        <f t="shared" si="1"/>
        <v>0.505</v>
      </c>
      <c r="G3">
        <f t="shared" si="1"/>
        <v>0.53615384615384609</v>
      </c>
      <c r="H3">
        <f t="shared" si="1"/>
        <v>0.56083333333333329</v>
      </c>
      <c r="I3">
        <f t="shared" si="1"/>
        <v>0.52090909090909088</v>
      </c>
      <c r="J3">
        <f t="shared" si="1"/>
        <v>0.47299999999999998</v>
      </c>
      <c r="K3">
        <f t="shared" si="1"/>
        <v>0.41444444444444445</v>
      </c>
      <c r="L3">
        <f t="shared" si="1"/>
        <v>0.34125</v>
      </c>
      <c r="M3">
        <f t="shared" si="1"/>
        <v>0.28999999999999998</v>
      </c>
      <c r="N3">
        <f t="shared" si="1"/>
        <v>0.23</v>
      </c>
      <c r="O3">
        <f t="shared" si="1"/>
        <v>0.156</v>
      </c>
      <c r="P3">
        <f t="shared" si="1"/>
        <v>5.7500000000000002E-2</v>
      </c>
      <c r="Q3">
        <f t="shared" si="1"/>
        <v>3.6666666666666667E-2</v>
      </c>
      <c r="R3">
        <f t="shared" si="1"/>
        <v>0.05</v>
      </c>
      <c r="S3">
        <f t="shared" si="1"/>
        <v>0.06</v>
      </c>
    </row>
    <row r="4" spans="1:36" x14ac:dyDescent="0.45">
      <c r="B4" t="s">
        <v>38</v>
      </c>
      <c r="C4" s="1">
        <f>SUM(T8:T25)</f>
        <v>2.6351058823529412</v>
      </c>
      <c r="D4" s="1">
        <f t="shared" ref="D4:S4" si="2">SUM(U8:U25)</f>
        <v>2.4544937500000001</v>
      </c>
      <c r="E4" s="1">
        <f t="shared" si="2"/>
        <v>2.2776399999999999</v>
      </c>
      <c r="F4" s="1">
        <f t="shared" si="2"/>
        <v>2.0942250000000002</v>
      </c>
      <c r="G4" s="1">
        <f t="shared" si="2"/>
        <v>1.9217876923076924</v>
      </c>
      <c r="H4" s="5">
        <f t="shared" si="2"/>
        <v>1.8594416666666667</v>
      </c>
      <c r="I4" s="1">
        <f t="shared" si="2"/>
        <v>2.3824337662337665</v>
      </c>
      <c r="J4" s="1">
        <f t="shared" si="2"/>
        <v>2.6799974999999998</v>
      </c>
      <c r="K4" s="1">
        <f t="shared" si="2"/>
        <v>2.7992222222222227</v>
      </c>
      <c r="L4" s="1">
        <f t="shared" si="2"/>
        <v>2.7557375</v>
      </c>
      <c r="M4" s="1">
        <f t="shared" si="2"/>
        <v>2.6677636363636363</v>
      </c>
      <c r="N4" s="1">
        <f t="shared" si="2"/>
        <v>2.5468666666666668</v>
      </c>
      <c r="O4" s="1">
        <f t="shared" si="2"/>
        <v>2.3951507692307694</v>
      </c>
      <c r="P4" s="1">
        <f t="shared" si="2"/>
        <v>2.2041964285714282</v>
      </c>
      <c r="Q4" s="1">
        <f t="shared" si="2"/>
        <v>2.3312400000000002</v>
      </c>
      <c r="R4" s="1">
        <f t="shared" si="2"/>
        <v>2.5297000000000001</v>
      </c>
      <c r="S4" s="1">
        <f t="shared" si="2"/>
        <v>2.6819764705882361</v>
      </c>
    </row>
    <row r="7" spans="1:36" x14ac:dyDescent="0.45">
      <c r="A7" s="4" t="s">
        <v>0</v>
      </c>
      <c r="B7" s="4" t="s">
        <v>1</v>
      </c>
      <c r="C7" s="2" t="s">
        <v>4</v>
      </c>
      <c r="D7" s="2" t="s">
        <v>5</v>
      </c>
      <c r="E7" s="2" t="s">
        <v>6</v>
      </c>
      <c r="F7" s="2" t="s">
        <v>7</v>
      </c>
      <c r="G7" s="2" t="s">
        <v>8</v>
      </c>
      <c r="H7" s="2" t="s">
        <v>9</v>
      </c>
      <c r="I7" s="2" t="s">
        <v>10</v>
      </c>
      <c r="J7" s="2" t="s">
        <v>11</v>
      </c>
      <c r="K7" s="2" t="s">
        <v>12</v>
      </c>
      <c r="L7" s="2" t="s">
        <v>13</v>
      </c>
      <c r="M7" s="2" t="s">
        <v>14</v>
      </c>
      <c r="N7" s="2" t="s">
        <v>15</v>
      </c>
      <c r="O7" s="2" t="s">
        <v>16</v>
      </c>
      <c r="P7" s="2" t="s">
        <v>17</v>
      </c>
      <c r="Q7" s="2" t="s">
        <v>18</v>
      </c>
      <c r="R7" s="2" t="s">
        <v>19</v>
      </c>
      <c r="S7" s="2" t="s">
        <v>20</v>
      </c>
      <c r="T7" s="3" t="s">
        <v>21</v>
      </c>
      <c r="U7" s="3" t="s">
        <v>22</v>
      </c>
      <c r="V7" s="3" t="s">
        <v>23</v>
      </c>
      <c r="W7" s="3" t="s">
        <v>24</v>
      </c>
      <c r="X7" s="3" t="s">
        <v>25</v>
      </c>
      <c r="Y7" s="3" t="s">
        <v>26</v>
      </c>
      <c r="Z7" s="3" t="s">
        <v>27</v>
      </c>
      <c r="AA7" s="3" t="s">
        <v>28</v>
      </c>
      <c r="AB7" s="3" t="s">
        <v>29</v>
      </c>
      <c r="AC7" s="3" t="s">
        <v>30</v>
      </c>
      <c r="AD7" s="3" t="s">
        <v>31</v>
      </c>
      <c r="AE7" s="3" t="s">
        <v>32</v>
      </c>
      <c r="AF7" s="3" t="s">
        <v>33</v>
      </c>
      <c r="AG7" s="3" t="s">
        <v>34</v>
      </c>
      <c r="AH7" s="3" t="s">
        <v>35</v>
      </c>
      <c r="AI7" s="3" t="s">
        <v>36</v>
      </c>
      <c r="AJ7" s="3" t="s">
        <v>37</v>
      </c>
    </row>
    <row r="8" spans="1:36" x14ac:dyDescent="0.45">
      <c r="A8">
        <v>0</v>
      </c>
      <c r="B8">
        <v>0</v>
      </c>
      <c r="C8">
        <f>IF($A8&lt;C$1,C$2,C$3)</f>
        <v>0</v>
      </c>
      <c r="D8">
        <f t="shared" ref="D8:S23" si="3">IF($A8&lt;D$1,D$2,D$3)</f>
        <v>5.0000000000000001E-3</v>
      </c>
      <c r="E8">
        <f t="shared" si="3"/>
        <v>1.6666666666666666E-2</v>
      </c>
      <c r="F8">
        <f t="shared" si="3"/>
        <v>2.75E-2</v>
      </c>
      <c r="G8">
        <f t="shared" si="3"/>
        <v>4.2000000000000003E-2</v>
      </c>
      <c r="H8">
        <f t="shared" si="3"/>
        <v>7.4999999999999997E-2</v>
      </c>
      <c r="I8">
        <f t="shared" si="3"/>
        <v>0.20714285714285713</v>
      </c>
      <c r="J8">
        <f t="shared" si="3"/>
        <v>0.30625000000000002</v>
      </c>
      <c r="K8">
        <f t="shared" si="3"/>
        <v>0.38333333333333336</v>
      </c>
      <c r="L8">
        <f t="shared" si="3"/>
        <v>0.44500000000000001</v>
      </c>
      <c r="M8">
        <f t="shared" si="3"/>
        <v>0.4681818181818182</v>
      </c>
      <c r="N8">
        <f t="shared" si="3"/>
        <v>0.48333333333333339</v>
      </c>
      <c r="O8">
        <f t="shared" si="3"/>
        <v>0.49230769230769234</v>
      </c>
      <c r="P8">
        <f t="shared" si="3"/>
        <v>0.49642857142857144</v>
      </c>
      <c r="Q8">
        <f t="shared" si="3"/>
        <v>0.47133333333333333</v>
      </c>
      <c r="R8">
        <f t="shared" si="3"/>
        <v>0.4425</v>
      </c>
      <c r="S8">
        <f t="shared" si="3"/>
        <v>0.41882352941176471</v>
      </c>
      <c r="T8">
        <f>POWER($B8-C8,2)</f>
        <v>0</v>
      </c>
      <c r="U8">
        <f t="shared" ref="U8:AJ23" si="4">POWER($B8-D8,2)</f>
        <v>2.5000000000000001E-5</v>
      </c>
      <c r="V8">
        <f t="shared" si="4"/>
        <v>2.7777777777777778E-4</v>
      </c>
      <c r="W8">
        <f t="shared" si="4"/>
        <v>7.5624999999999998E-4</v>
      </c>
      <c r="X8">
        <f t="shared" si="4"/>
        <v>1.7640000000000002E-3</v>
      </c>
      <c r="Y8">
        <f t="shared" si="4"/>
        <v>5.6249999999999998E-3</v>
      </c>
      <c r="Z8">
        <f t="shared" si="4"/>
        <v>4.2908163265306117E-2</v>
      </c>
      <c r="AA8">
        <f t="shared" si="4"/>
        <v>9.378906250000002E-2</v>
      </c>
      <c r="AB8">
        <f t="shared" si="4"/>
        <v>0.14694444444444446</v>
      </c>
      <c r="AC8">
        <f t="shared" si="4"/>
        <v>0.19802500000000001</v>
      </c>
      <c r="AD8">
        <f t="shared" si="4"/>
        <v>0.21919421487603308</v>
      </c>
      <c r="AE8">
        <f t="shared" si="4"/>
        <v>0.23361111111111116</v>
      </c>
      <c r="AF8">
        <f t="shared" si="4"/>
        <v>0.24236686390532547</v>
      </c>
      <c r="AG8">
        <f t="shared" si="4"/>
        <v>0.24644132653061226</v>
      </c>
      <c r="AH8">
        <f t="shared" si="4"/>
        <v>0.22215511111111111</v>
      </c>
      <c r="AI8">
        <f t="shared" si="4"/>
        <v>0.19580625000000002</v>
      </c>
      <c r="AJ8">
        <f t="shared" si="4"/>
        <v>0.17541314878892733</v>
      </c>
    </row>
    <row r="9" spans="1:36" x14ac:dyDescent="0.45">
      <c r="A9">
        <v>6</v>
      </c>
      <c r="B9">
        <v>0.01</v>
      </c>
      <c r="C9">
        <f t="shared" ref="C9:R25" si="5">IF($A9&lt;C$1,C$2,C$3)</f>
        <v>0.4223529411764706</v>
      </c>
      <c r="D9">
        <f t="shared" si="5"/>
        <v>5.0000000000000001E-3</v>
      </c>
      <c r="E9">
        <f t="shared" si="5"/>
        <v>1.6666666666666666E-2</v>
      </c>
      <c r="F9">
        <f t="shared" si="5"/>
        <v>2.75E-2</v>
      </c>
      <c r="G9">
        <f t="shared" si="5"/>
        <v>4.2000000000000003E-2</v>
      </c>
      <c r="H9">
        <f t="shared" si="5"/>
        <v>7.4999999999999997E-2</v>
      </c>
      <c r="I9">
        <f t="shared" si="5"/>
        <v>0.20714285714285713</v>
      </c>
      <c r="J9">
        <f t="shared" si="5"/>
        <v>0.30625000000000002</v>
      </c>
      <c r="K9">
        <f t="shared" si="5"/>
        <v>0.38333333333333336</v>
      </c>
      <c r="L9">
        <f t="shared" si="5"/>
        <v>0.44500000000000001</v>
      </c>
      <c r="M9">
        <f t="shared" si="5"/>
        <v>0.4681818181818182</v>
      </c>
      <c r="N9">
        <f t="shared" si="5"/>
        <v>0.48333333333333339</v>
      </c>
      <c r="O9">
        <f t="shared" si="5"/>
        <v>0.49230769230769234</v>
      </c>
      <c r="P9">
        <f t="shared" si="5"/>
        <v>0.49642857142857144</v>
      </c>
      <c r="Q9">
        <f t="shared" si="5"/>
        <v>0.47133333333333333</v>
      </c>
      <c r="R9">
        <f t="shared" si="5"/>
        <v>0.4425</v>
      </c>
      <c r="S9">
        <f t="shared" si="3"/>
        <v>0.41882352941176471</v>
      </c>
      <c r="T9">
        <f t="shared" ref="T9:T25" si="6">POWER($B9-C9,2)</f>
        <v>0.17003494809688582</v>
      </c>
      <c r="U9">
        <f t="shared" si="4"/>
        <v>2.5000000000000001E-5</v>
      </c>
      <c r="V9">
        <f t="shared" si="4"/>
        <v>4.444444444444444E-5</v>
      </c>
      <c r="W9">
        <f t="shared" si="4"/>
        <v>3.0625000000000004E-4</v>
      </c>
      <c r="X9">
        <f t="shared" si="4"/>
        <v>1.024E-3</v>
      </c>
      <c r="Y9">
        <f t="shared" si="4"/>
        <v>4.2250000000000005E-3</v>
      </c>
      <c r="Z9">
        <f t="shared" si="4"/>
        <v>3.886530612244897E-2</v>
      </c>
      <c r="AA9">
        <f t="shared" si="4"/>
        <v>8.7764062500000004E-2</v>
      </c>
      <c r="AB9">
        <f t="shared" si="4"/>
        <v>0.13937777777777779</v>
      </c>
      <c r="AC9">
        <f t="shared" si="4"/>
        <v>0.189225</v>
      </c>
      <c r="AD9">
        <f t="shared" si="4"/>
        <v>0.20993057851239671</v>
      </c>
      <c r="AE9">
        <f t="shared" si="4"/>
        <v>0.22404444444444449</v>
      </c>
      <c r="AF9">
        <f t="shared" si="4"/>
        <v>0.23262071005917162</v>
      </c>
      <c r="AG9">
        <f t="shared" si="4"/>
        <v>0.23661275510204083</v>
      </c>
      <c r="AH9">
        <f t="shared" si="4"/>
        <v>0.21282844444444443</v>
      </c>
      <c r="AI9">
        <f t="shared" si="4"/>
        <v>0.18705625000000001</v>
      </c>
      <c r="AJ9">
        <f t="shared" si="4"/>
        <v>0.16713667820069203</v>
      </c>
    </row>
    <row r="10" spans="1:36" x14ac:dyDescent="0.45">
      <c r="A10">
        <v>8</v>
      </c>
      <c r="B10">
        <v>0.04</v>
      </c>
      <c r="C10">
        <f t="shared" si="5"/>
        <v>0.4223529411764706</v>
      </c>
      <c r="D10">
        <f t="shared" si="3"/>
        <v>0.44812499999999994</v>
      </c>
      <c r="E10">
        <f t="shared" si="3"/>
        <v>1.6666666666666666E-2</v>
      </c>
      <c r="F10">
        <f t="shared" si="3"/>
        <v>2.75E-2</v>
      </c>
      <c r="G10">
        <f t="shared" si="3"/>
        <v>4.2000000000000003E-2</v>
      </c>
      <c r="H10">
        <f t="shared" si="3"/>
        <v>7.4999999999999997E-2</v>
      </c>
      <c r="I10">
        <f t="shared" si="3"/>
        <v>0.20714285714285713</v>
      </c>
      <c r="J10">
        <f t="shared" si="3"/>
        <v>0.30625000000000002</v>
      </c>
      <c r="K10">
        <f t="shared" si="3"/>
        <v>0.38333333333333336</v>
      </c>
      <c r="L10">
        <f t="shared" si="3"/>
        <v>0.44500000000000001</v>
      </c>
      <c r="M10">
        <f t="shared" si="3"/>
        <v>0.4681818181818182</v>
      </c>
      <c r="N10">
        <f t="shared" si="3"/>
        <v>0.48333333333333339</v>
      </c>
      <c r="O10">
        <f t="shared" si="3"/>
        <v>0.49230769230769234</v>
      </c>
      <c r="P10">
        <f t="shared" si="3"/>
        <v>0.49642857142857144</v>
      </c>
      <c r="Q10">
        <f t="shared" si="3"/>
        <v>0.47133333333333333</v>
      </c>
      <c r="R10">
        <f t="shared" si="3"/>
        <v>0.4425</v>
      </c>
      <c r="S10">
        <f t="shared" si="3"/>
        <v>0.41882352941176471</v>
      </c>
      <c r="T10">
        <f>POWER($B10-C10,2)</f>
        <v>0.1461937716262976</v>
      </c>
      <c r="U10">
        <f t="shared" si="4"/>
        <v>0.16656601562499998</v>
      </c>
      <c r="V10">
        <f t="shared" si="4"/>
        <v>5.4444444444444451E-4</v>
      </c>
      <c r="W10">
        <f t="shared" si="4"/>
        <v>1.5625000000000003E-4</v>
      </c>
      <c r="X10">
        <f t="shared" si="4"/>
        <v>4.0000000000000074E-6</v>
      </c>
      <c r="Y10">
        <f t="shared" si="4"/>
        <v>1.2249999999999997E-3</v>
      </c>
      <c r="Z10">
        <f t="shared" si="4"/>
        <v>2.7936734693877543E-2</v>
      </c>
      <c r="AA10">
        <f t="shared" si="4"/>
        <v>7.0889062500000016E-2</v>
      </c>
      <c r="AB10">
        <f t="shared" si="4"/>
        <v>0.1178777777777778</v>
      </c>
      <c r="AC10">
        <f t="shared" si="4"/>
        <v>0.16402500000000003</v>
      </c>
      <c r="AD10">
        <f t="shared" si="4"/>
        <v>0.18333966942148763</v>
      </c>
      <c r="AE10">
        <f t="shared" si="4"/>
        <v>0.19654444444444452</v>
      </c>
      <c r="AF10">
        <f t="shared" si="4"/>
        <v>0.20458224852071011</v>
      </c>
      <c r="AG10">
        <f t="shared" si="4"/>
        <v>0.20832704081632655</v>
      </c>
      <c r="AH10">
        <f t="shared" si="4"/>
        <v>0.18604844444444446</v>
      </c>
      <c r="AI10">
        <f t="shared" si="4"/>
        <v>0.16200625000000002</v>
      </c>
      <c r="AJ10">
        <f t="shared" si="4"/>
        <v>0.14350726643598619</v>
      </c>
    </row>
    <row r="11" spans="1:36" x14ac:dyDescent="0.45">
      <c r="A11">
        <v>9</v>
      </c>
      <c r="B11">
        <v>0.06</v>
      </c>
      <c r="C11">
        <f t="shared" si="5"/>
        <v>0.4223529411764706</v>
      </c>
      <c r="D11">
        <f t="shared" si="3"/>
        <v>0.44812499999999994</v>
      </c>
      <c r="E11">
        <f t="shared" si="3"/>
        <v>0.47533333333333333</v>
      </c>
      <c r="F11">
        <f t="shared" si="3"/>
        <v>2.75E-2</v>
      </c>
      <c r="G11">
        <f t="shared" si="3"/>
        <v>4.2000000000000003E-2</v>
      </c>
      <c r="H11">
        <f t="shared" si="3"/>
        <v>7.4999999999999997E-2</v>
      </c>
      <c r="I11">
        <f t="shared" si="3"/>
        <v>0.20714285714285713</v>
      </c>
      <c r="J11">
        <f t="shared" si="3"/>
        <v>0.30625000000000002</v>
      </c>
      <c r="K11">
        <f t="shared" si="3"/>
        <v>0.38333333333333336</v>
      </c>
      <c r="L11">
        <f t="shared" si="3"/>
        <v>0.44500000000000001</v>
      </c>
      <c r="M11">
        <f t="shared" si="3"/>
        <v>0.4681818181818182</v>
      </c>
      <c r="N11">
        <f t="shared" si="3"/>
        <v>0.48333333333333339</v>
      </c>
      <c r="O11">
        <f t="shared" si="3"/>
        <v>0.49230769230769234</v>
      </c>
      <c r="P11">
        <f t="shared" si="3"/>
        <v>0.49642857142857144</v>
      </c>
      <c r="Q11">
        <f t="shared" si="3"/>
        <v>0.47133333333333333</v>
      </c>
      <c r="R11">
        <f t="shared" si="3"/>
        <v>0.4425</v>
      </c>
      <c r="S11">
        <f t="shared" si="3"/>
        <v>0.41882352941176471</v>
      </c>
      <c r="T11">
        <f t="shared" si="6"/>
        <v>0.13129965397923876</v>
      </c>
      <c r="U11">
        <f t="shared" si="4"/>
        <v>0.15064101562499996</v>
      </c>
      <c r="V11">
        <f t="shared" si="4"/>
        <v>0.17250177777777778</v>
      </c>
      <c r="W11">
        <f t="shared" si="4"/>
        <v>1.0562500000000001E-3</v>
      </c>
      <c r="X11">
        <f t="shared" si="4"/>
        <v>3.2399999999999985E-4</v>
      </c>
      <c r="Y11">
        <f t="shared" si="4"/>
        <v>2.2499999999999999E-4</v>
      </c>
      <c r="Z11">
        <f t="shared" si="4"/>
        <v>2.165102040816326E-2</v>
      </c>
      <c r="AA11">
        <f t="shared" si="4"/>
        <v>6.0639062500000014E-2</v>
      </c>
      <c r="AB11">
        <f t="shared" si="4"/>
        <v>0.10454444444444447</v>
      </c>
      <c r="AC11">
        <f t="shared" si="4"/>
        <v>0.148225</v>
      </c>
      <c r="AD11">
        <f t="shared" si="4"/>
        <v>0.1666123966942149</v>
      </c>
      <c r="AE11">
        <f t="shared" si="4"/>
        <v>0.17921111111111115</v>
      </c>
      <c r="AF11">
        <f t="shared" si="4"/>
        <v>0.18688994082840238</v>
      </c>
      <c r="AG11">
        <f t="shared" si="4"/>
        <v>0.19046989795918368</v>
      </c>
      <c r="AH11">
        <f t="shared" si="4"/>
        <v>0.1691951111111111</v>
      </c>
      <c r="AI11">
        <f t="shared" si="4"/>
        <v>0.14630625</v>
      </c>
      <c r="AJ11">
        <f t="shared" si="4"/>
        <v>0.12875432525951558</v>
      </c>
    </row>
    <row r="12" spans="1:36" x14ac:dyDescent="0.45">
      <c r="A12">
        <v>10</v>
      </c>
      <c r="B12">
        <v>0.1</v>
      </c>
      <c r="C12">
        <f t="shared" si="5"/>
        <v>0.4223529411764706</v>
      </c>
      <c r="D12">
        <f t="shared" si="3"/>
        <v>0.44812499999999994</v>
      </c>
      <c r="E12">
        <f t="shared" si="3"/>
        <v>0.47533333333333333</v>
      </c>
      <c r="F12">
        <f t="shared" si="3"/>
        <v>0.505</v>
      </c>
      <c r="G12">
        <f t="shared" si="3"/>
        <v>4.2000000000000003E-2</v>
      </c>
      <c r="H12">
        <f t="shared" si="3"/>
        <v>7.4999999999999997E-2</v>
      </c>
      <c r="I12">
        <f t="shared" si="3"/>
        <v>0.20714285714285713</v>
      </c>
      <c r="J12">
        <f t="shared" si="3"/>
        <v>0.30625000000000002</v>
      </c>
      <c r="K12">
        <f t="shared" si="3"/>
        <v>0.38333333333333336</v>
      </c>
      <c r="L12">
        <f t="shared" si="3"/>
        <v>0.44500000000000001</v>
      </c>
      <c r="M12">
        <f t="shared" si="3"/>
        <v>0.4681818181818182</v>
      </c>
      <c r="N12">
        <f t="shared" si="3"/>
        <v>0.48333333333333339</v>
      </c>
      <c r="O12">
        <f t="shared" si="3"/>
        <v>0.49230769230769234</v>
      </c>
      <c r="P12">
        <f t="shared" si="3"/>
        <v>0.49642857142857144</v>
      </c>
      <c r="Q12">
        <f t="shared" si="3"/>
        <v>0.47133333333333333</v>
      </c>
      <c r="R12">
        <f t="shared" si="3"/>
        <v>0.4425</v>
      </c>
      <c r="S12">
        <f t="shared" si="3"/>
        <v>0.41882352941176471</v>
      </c>
      <c r="T12">
        <f t="shared" si="6"/>
        <v>0.10391141868512113</v>
      </c>
      <c r="U12">
        <f t="shared" si="4"/>
        <v>0.12119101562499994</v>
      </c>
      <c r="V12">
        <f t="shared" si="4"/>
        <v>0.14087511111111109</v>
      </c>
      <c r="W12">
        <f t="shared" si="4"/>
        <v>0.16402500000000003</v>
      </c>
      <c r="X12">
        <f t="shared" si="4"/>
        <v>3.3640000000000002E-3</v>
      </c>
      <c r="Y12">
        <f t="shared" si="4"/>
        <v>6.2500000000000045E-4</v>
      </c>
      <c r="Z12">
        <f t="shared" si="4"/>
        <v>1.1479591836734689E-2</v>
      </c>
      <c r="AA12">
        <f t="shared" si="4"/>
        <v>4.2539062500000009E-2</v>
      </c>
      <c r="AB12">
        <f t="shared" si="4"/>
        <v>8.0277777777777767E-2</v>
      </c>
      <c r="AC12">
        <f t="shared" si="4"/>
        <v>0.11902499999999998</v>
      </c>
      <c r="AD12">
        <f t="shared" si="4"/>
        <v>0.1355578512396694</v>
      </c>
      <c r="AE12">
        <f t="shared" si="4"/>
        <v>0.14694444444444452</v>
      </c>
      <c r="AF12">
        <f t="shared" si="4"/>
        <v>0.15390532544378702</v>
      </c>
      <c r="AG12">
        <f t="shared" si="4"/>
        <v>0.15715561224489799</v>
      </c>
      <c r="AH12">
        <f t="shared" si="4"/>
        <v>0.13788844444444442</v>
      </c>
      <c r="AI12">
        <f t="shared" si="4"/>
        <v>0.11730625000000001</v>
      </c>
      <c r="AJ12">
        <f t="shared" si="4"/>
        <v>0.1016484429065744</v>
      </c>
    </row>
    <row r="13" spans="1:36" x14ac:dyDescent="0.45">
      <c r="A13">
        <v>13</v>
      </c>
      <c r="B13">
        <v>0.24</v>
      </c>
      <c r="C13">
        <f t="shared" si="5"/>
        <v>0.4223529411764706</v>
      </c>
      <c r="D13">
        <f t="shared" si="3"/>
        <v>0.44812499999999994</v>
      </c>
      <c r="E13">
        <f t="shared" si="3"/>
        <v>0.47533333333333333</v>
      </c>
      <c r="F13">
        <f t="shared" si="3"/>
        <v>0.505</v>
      </c>
      <c r="G13">
        <f t="shared" si="3"/>
        <v>0.53615384615384609</v>
      </c>
      <c r="H13">
        <f t="shared" si="3"/>
        <v>7.4999999999999997E-2</v>
      </c>
      <c r="I13">
        <f t="shared" si="3"/>
        <v>0.20714285714285713</v>
      </c>
      <c r="J13">
        <f t="shared" si="3"/>
        <v>0.30625000000000002</v>
      </c>
      <c r="K13">
        <f t="shared" si="3"/>
        <v>0.38333333333333336</v>
      </c>
      <c r="L13">
        <f t="shared" si="3"/>
        <v>0.44500000000000001</v>
      </c>
      <c r="M13">
        <f t="shared" si="3"/>
        <v>0.4681818181818182</v>
      </c>
      <c r="N13">
        <f t="shared" si="3"/>
        <v>0.48333333333333339</v>
      </c>
      <c r="O13">
        <f t="shared" si="3"/>
        <v>0.49230769230769234</v>
      </c>
      <c r="P13">
        <f t="shared" si="3"/>
        <v>0.49642857142857144</v>
      </c>
      <c r="Q13">
        <f t="shared" si="3"/>
        <v>0.47133333333333333</v>
      </c>
      <c r="R13">
        <f t="shared" si="3"/>
        <v>0.4425</v>
      </c>
      <c r="S13">
        <f t="shared" si="3"/>
        <v>0.41882352941176471</v>
      </c>
      <c r="T13">
        <f t="shared" si="6"/>
        <v>3.3252595155709351E-2</v>
      </c>
      <c r="U13">
        <f t="shared" si="4"/>
        <v>4.3316015624999982E-2</v>
      </c>
      <c r="V13">
        <f t="shared" si="4"/>
        <v>5.538177777777778E-2</v>
      </c>
      <c r="W13">
        <f t="shared" si="4"/>
        <v>7.022500000000001E-2</v>
      </c>
      <c r="X13">
        <f t="shared" si="4"/>
        <v>8.770710059171595E-2</v>
      </c>
      <c r="Y13">
        <f t="shared" si="4"/>
        <v>2.7224999999999992E-2</v>
      </c>
      <c r="Z13">
        <f t="shared" si="4"/>
        <v>1.0795918367346943E-3</v>
      </c>
      <c r="AA13">
        <f t="shared" si="4"/>
        <v>4.3890625000000041E-3</v>
      </c>
      <c r="AB13">
        <f t="shared" si="4"/>
        <v>2.0544444444444455E-2</v>
      </c>
      <c r="AC13">
        <f t="shared" si="4"/>
        <v>4.2025000000000007E-2</v>
      </c>
      <c r="AD13">
        <f t="shared" si="4"/>
        <v>5.2066942148760342E-2</v>
      </c>
      <c r="AE13">
        <f t="shared" si="4"/>
        <v>5.9211111111111145E-2</v>
      </c>
      <c r="AF13">
        <f t="shared" si="4"/>
        <v>6.3659171597633152E-2</v>
      </c>
      <c r="AG13">
        <f t="shared" si="4"/>
        <v>6.5755612244897968E-2</v>
      </c>
      <c r="AH13">
        <f t="shared" si="4"/>
        <v>5.3515111111111111E-2</v>
      </c>
      <c r="AI13">
        <f t="shared" si="4"/>
        <v>4.1006250000000008E-2</v>
      </c>
      <c r="AJ13">
        <f t="shared" si="4"/>
        <v>3.1977854671280281E-2</v>
      </c>
    </row>
    <row r="14" spans="1:36" x14ac:dyDescent="0.45">
      <c r="A14">
        <v>15</v>
      </c>
      <c r="B14">
        <v>1</v>
      </c>
      <c r="C14">
        <f t="shared" si="5"/>
        <v>0.4223529411764706</v>
      </c>
      <c r="D14">
        <f t="shared" si="3"/>
        <v>0.44812499999999994</v>
      </c>
      <c r="E14">
        <f t="shared" si="3"/>
        <v>0.47533333333333333</v>
      </c>
      <c r="F14">
        <f t="shared" si="3"/>
        <v>0.505</v>
      </c>
      <c r="G14">
        <f t="shared" si="3"/>
        <v>0.53615384615384609</v>
      </c>
      <c r="H14">
        <f t="shared" si="3"/>
        <v>0.56083333333333329</v>
      </c>
      <c r="I14">
        <f t="shared" si="3"/>
        <v>0.20714285714285713</v>
      </c>
      <c r="J14">
        <f t="shared" si="3"/>
        <v>0.30625000000000002</v>
      </c>
      <c r="K14">
        <f t="shared" si="3"/>
        <v>0.38333333333333336</v>
      </c>
      <c r="L14">
        <f t="shared" si="3"/>
        <v>0.44500000000000001</v>
      </c>
      <c r="M14">
        <f t="shared" si="3"/>
        <v>0.4681818181818182</v>
      </c>
      <c r="N14">
        <f t="shared" si="3"/>
        <v>0.48333333333333339</v>
      </c>
      <c r="O14">
        <f t="shared" si="3"/>
        <v>0.49230769230769234</v>
      </c>
      <c r="P14">
        <f t="shared" si="3"/>
        <v>0.49642857142857144</v>
      </c>
      <c r="Q14">
        <f t="shared" si="3"/>
        <v>0.47133333333333333</v>
      </c>
      <c r="R14">
        <f t="shared" si="3"/>
        <v>0.4425</v>
      </c>
      <c r="S14">
        <f t="shared" si="3"/>
        <v>0.41882352941176471</v>
      </c>
      <c r="T14">
        <f t="shared" si="6"/>
        <v>0.33367612456747403</v>
      </c>
      <c r="U14">
        <f t="shared" si="4"/>
        <v>0.30456601562500013</v>
      </c>
      <c r="V14">
        <f t="shared" si="4"/>
        <v>0.27527511111111108</v>
      </c>
      <c r="W14">
        <f t="shared" si="4"/>
        <v>0.24502499999999999</v>
      </c>
      <c r="X14">
        <f t="shared" si="4"/>
        <v>0.21515325443786987</v>
      </c>
      <c r="Y14">
        <f t="shared" si="4"/>
        <v>0.19286736111111114</v>
      </c>
      <c r="Z14">
        <f t="shared" si="4"/>
        <v>0.62862244897959196</v>
      </c>
      <c r="AA14">
        <f t="shared" si="4"/>
        <v>0.48128906249999998</v>
      </c>
      <c r="AB14">
        <f t="shared" si="4"/>
        <v>0.38027777777777783</v>
      </c>
      <c r="AC14">
        <f t="shared" si="4"/>
        <v>0.30802499999999994</v>
      </c>
      <c r="AD14">
        <f t="shared" si="4"/>
        <v>0.28283057851239662</v>
      </c>
      <c r="AE14">
        <f t="shared" si="4"/>
        <v>0.26694444444444437</v>
      </c>
      <c r="AF14">
        <f t="shared" si="4"/>
        <v>0.2577514792899408</v>
      </c>
      <c r="AG14">
        <f t="shared" si="4"/>
        <v>0.25358418367346935</v>
      </c>
      <c r="AH14">
        <f t="shared" si="4"/>
        <v>0.27948844444444437</v>
      </c>
      <c r="AI14">
        <f t="shared" si="4"/>
        <v>0.31080625000000001</v>
      </c>
      <c r="AJ14">
        <f t="shared" si="4"/>
        <v>0.33776608996539792</v>
      </c>
    </row>
    <row r="15" spans="1:36" x14ac:dyDescent="0.45">
      <c r="A15">
        <v>18</v>
      </c>
      <c r="B15">
        <v>1</v>
      </c>
      <c r="C15">
        <f t="shared" si="5"/>
        <v>0.4223529411764706</v>
      </c>
      <c r="D15">
        <f t="shared" si="3"/>
        <v>0.44812499999999994</v>
      </c>
      <c r="E15">
        <f t="shared" si="3"/>
        <v>0.47533333333333333</v>
      </c>
      <c r="F15">
        <f t="shared" si="3"/>
        <v>0.505</v>
      </c>
      <c r="G15">
        <f t="shared" si="3"/>
        <v>0.53615384615384609</v>
      </c>
      <c r="H15">
        <f t="shared" si="3"/>
        <v>0.56083333333333329</v>
      </c>
      <c r="I15">
        <f t="shared" si="3"/>
        <v>0.52090909090909088</v>
      </c>
      <c r="J15">
        <f t="shared" si="3"/>
        <v>0.30625000000000002</v>
      </c>
      <c r="K15">
        <f t="shared" si="3"/>
        <v>0.38333333333333336</v>
      </c>
      <c r="L15">
        <f t="shared" si="3"/>
        <v>0.44500000000000001</v>
      </c>
      <c r="M15">
        <f t="shared" si="3"/>
        <v>0.4681818181818182</v>
      </c>
      <c r="N15">
        <f t="shared" si="3"/>
        <v>0.48333333333333339</v>
      </c>
      <c r="O15">
        <f t="shared" si="3"/>
        <v>0.49230769230769234</v>
      </c>
      <c r="P15">
        <f t="shared" si="3"/>
        <v>0.49642857142857144</v>
      </c>
      <c r="Q15">
        <f t="shared" si="3"/>
        <v>0.47133333333333333</v>
      </c>
      <c r="R15">
        <f t="shared" si="3"/>
        <v>0.4425</v>
      </c>
      <c r="S15">
        <f t="shared" si="3"/>
        <v>0.41882352941176471</v>
      </c>
      <c r="T15">
        <f t="shared" si="6"/>
        <v>0.33367612456747403</v>
      </c>
      <c r="U15">
        <f t="shared" si="4"/>
        <v>0.30456601562500013</v>
      </c>
      <c r="V15">
        <f t="shared" si="4"/>
        <v>0.27527511111111108</v>
      </c>
      <c r="W15">
        <f t="shared" si="4"/>
        <v>0.24502499999999999</v>
      </c>
      <c r="X15">
        <f t="shared" si="4"/>
        <v>0.21515325443786987</v>
      </c>
      <c r="Y15">
        <f t="shared" si="4"/>
        <v>0.19286736111111114</v>
      </c>
      <c r="Z15">
        <f t="shared" si="4"/>
        <v>0.22952809917355374</v>
      </c>
      <c r="AA15">
        <f t="shared" si="4"/>
        <v>0.48128906249999998</v>
      </c>
      <c r="AB15">
        <f t="shared" si="4"/>
        <v>0.38027777777777783</v>
      </c>
      <c r="AC15">
        <f t="shared" si="4"/>
        <v>0.30802499999999994</v>
      </c>
      <c r="AD15">
        <f t="shared" si="4"/>
        <v>0.28283057851239662</v>
      </c>
      <c r="AE15">
        <f t="shared" si="4"/>
        <v>0.26694444444444437</v>
      </c>
      <c r="AF15">
        <f t="shared" si="4"/>
        <v>0.2577514792899408</v>
      </c>
      <c r="AG15">
        <f t="shared" si="4"/>
        <v>0.25358418367346935</v>
      </c>
      <c r="AH15">
        <f t="shared" si="4"/>
        <v>0.27948844444444437</v>
      </c>
      <c r="AI15">
        <f t="shared" si="4"/>
        <v>0.31080625000000001</v>
      </c>
      <c r="AJ15">
        <f t="shared" si="4"/>
        <v>0.33776608996539792</v>
      </c>
    </row>
    <row r="16" spans="1:36" x14ac:dyDescent="0.45">
      <c r="A16">
        <v>20</v>
      </c>
      <c r="B16">
        <v>1</v>
      </c>
      <c r="C16">
        <f t="shared" si="5"/>
        <v>0.4223529411764706</v>
      </c>
      <c r="D16">
        <f t="shared" si="3"/>
        <v>0.44812499999999994</v>
      </c>
      <c r="E16">
        <f t="shared" si="3"/>
        <v>0.47533333333333333</v>
      </c>
      <c r="F16">
        <f t="shared" si="3"/>
        <v>0.505</v>
      </c>
      <c r="G16">
        <f t="shared" si="3"/>
        <v>0.53615384615384609</v>
      </c>
      <c r="H16">
        <f t="shared" si="3"/>
        <v>0.56083333333333329</v>
      </c>
      <c r="I16">
        <f t="shared" si="3"/>
        <v>0.52090909090909088</v>
      </c>
      <c r="J16">
        <f t="shared" si="3"/>
        <v>0.47299999999999998</v>
      </c>
      <c r="K16">
        <f t="shared" si="3"/>
        <v>0.38333333333333336</v>
      </c>
      <c r="L16">
        <f t="shared" si="3"/>
        <v>0.44500000000000001</v>
      </c>
      <c r="M16">
        <f t="shared" si="3"/>
        <v>0.4681818181818182</v>
      </c>
      <c r="N16">
        <f t="shared" si="3"/>
        <v>0.48333333333333339</v>
      </c>
      <c r="O16">
        <f t="shared" si="3"/>
        <v>0.49230769230769234</v>
      </c>
      <c r="P16">
        <f t="shared" si="3"/>
        <v>0.49642857142857144</v>
      </c>
      <c r="Q16">
        <f t="shared" si="3"/>
        <v>0.47133333333333333</v>
      </c>
      <c r="R16">
        <f t="shared" si="3"/>
        <v>0.4425</v>
      </c>
      <c r="S16">
        <f t="shared" si="3"/>
        <v>0.41882352941176471</v>
      </c>
      <c r="T16">
        <f t="shared" si="6"/>
        <v>0.33367612456747403</v>
      </c>
      <c r="U16">
        <f t="shared" si="4"/>
        <v>0.30456601562500013</v>
      </c>
      <c r="V16">
        <f t="shared" si="4"/>
        <v>0.27527511111111108</v>
      </c>
      <c r="W16">
        <f t="shared" si="4"/>
        <v>0.24502499999999999</v>
      </c>
      <c r="X16">
        <f t="shared" si="4"/>
        <v>0.21515325443786987</v>
      </c>
      <c r="Y16">
        <f t="shared" si="4"/>
        <v>0.19286736111111114</v>
      </c>
      <c r="Z16">
        <f t="shared" si="4"/>
        <v>0.22952809917355374</v>
      </c>
      <c r="AA16">
        <f t="shared" si="4"/>
        <v>0.277729</v>
      </c>
      <c r="AB16">
        <f t="shared" si="4"/>
        <v>0.38027777777777783</v>
      </c>
      <c r="AC16">
        <f t="shared" si="4"/>
        <v>0.30802499999999994</v>
      </c>
      <c r="AD16">
        <f t="shared" si="4"/>
        <v>0.28283057851239662</v>
      </c>
      <c r="AE16">
        <f t="shared" si="4"/>
        <v>0.26694444444444437</v>
      </c>
      <c r="AF16">
        <f t="shared" si="4"/>
        <v>0.2577514792899408</v>
      </c>
      <c r="AG16">
        <f t="shared" si="4"/>
        <v>0.25358418367346935</v>
      </c>
      <c r="AH16">
        <f t="shared" si="4"/>
        <v>0.27948844444444437</v>
      </c>
      <c r="AI16">
        <f t="shared" si="4"/>
        <v>0.31080625000000001</v>
      </c>
      <c r="AJ16">
        <f t="shared" si="4"/>
        <v>0.33776608996539792</v>
      </c>
    </row>
    <row r="17" spans="1:36" x14ac:dyDescent="0.45">
      <c r="A17">
        <v>25</v>
      </c>
      <c r="B17">
        <v>1</v>
      </c>
      <c r="C17">
        <f t="shared" si="5"/>
        <v>0.4223529411764706</v>
      </c>
      <c r="D17">
        <f t="shared" si="3"/>
        <v>0.44812499999999994</v>
      </c>
      <c r="E17">
        <f t="shared" si="3"/>
        <v>0.47533333333333333</v>
      </c>
      <c r="F17">
        <f t="shared" si="3"/>
        <v>0.505</v>
      </c>
      <c r="G17">
        <f t="shared" si="3"/>
        <v>0.53615384615384609</v>
      </c>
      <c r="H17">
        <f t="shared" si="3"/>
        <v>0.56083333333333329</v>
      </c>
      <c r="I17">
        <f t="shared" si="3"/>
        <v>0.52090909090909088</v>
      </c>
      <c r="J17">
        <f t="shared" si="3"/>
        <v>0.47299999999999998</v>
      </c>
      <c r="K17">
        <f t="shared" si="3"/>
        <v>0.41444444444444445</v>
      </c>
      <c r="L17">
        <f t="shared" si="3"/>
        <v>0.44500000000000001</v>
      </c>
      <c r="M17">
        <f t="shared" si="3"/>
        <v>0.4681818181818182</v>
      </c>
      <c r="N17">
        <f t="shared" si="3"/>
        <v>0.48333333333333339</v>
      </c>
      <c r="O17">
        <f t="shared" si="3"/>
        <v>0.49230769230769234</v>
      </c>
      <c r="P17">
        <f t="shared" si="3"/>
        <v>0.49642857142857144</v>
      </c>
      <c r="Q17">
        <f t="shared" si="3"/>
        <v>0.47133333333333333</v>
      </c>
      <c r="R17">
        <f t="shared" si="3"/>
        <v>0.4425</v>
      </c>
      <c r="S17">
        <f t="shared" si="3"/>
        <v>0.41882352941176471</v>
      </c>
      <c r="T17">
        <f t="shared" si="6"/>
        <v>0.33367612456747403</v>
      </c>
      <c r="U17">
        <f t="shared" si="4"/>
        <v>0.30456601562500013</v>
      </c>
      <c r="V17">
        <f t="shared" si="4"/>
        <v>0.27527511111111108</v>
      </c>
      <c r="W17">
        <f t="shared" si="4"/>
        <v>0.24502499999999999</v>
      </c>
      <c r="X17">
        <f t="shared" si="4"/>
        <v>0.21515325443786987</v>
      </c>
      <c r="Y17">
        <f t="shared" si="4"/>
        <v>0.19286736111111114</v>
      </c>
      <c r="Z17">
        <f t="shared" si="4"/>
        <v>0.22952809917355374</v>
      </c>
      <c r="AA17">
        <f t="shared" si="4"/>
        <v>0.277729</v>
      </c>
      <c r="AB17">
        <f t="shared" si="4"/>
        <v>0.34287530864197535</v>
      </c>
      <c r="AC17">
        <f t="shared" si="4"/>
        <v>0.30802499999999994</v>
      </c>
      <c r="AD17">
        <f t="shared" si="4"/>
        <v>0.28283057851239662</v>
      </c>
      <c r="AE17">
        <f t="shared" si="4"/>
        <v>0.26694444444444437</v>
      </c>
      <c r="AF17">
        <f t="shared" si="4"/>
        <v>0.2577514792899408</v>
      </c>
      <c r="AG17">
        <f t="shared" si="4"/>
        <v>0.25358418367346935</v>
      </c>
      <c r="AH17">
        <f t="shared" si="4"/>
        <v>0.27948844444444437</v>
      </c>
      <c r="AI17">
        <f t="shared" si="4"/>
        <v>0.31080625000000001</v>
      </c>
      <c r="AJ17">
        <f t="shared" si="4"/>
        <v>0.33776608996539792</v>
      </c>
    </row>
    <row r="18" spans="1:36" x14ac:dyDescent="0.45">
      <c r="A18">
        <v>26</v>
      </c>
      <c r="B18">
        <v>0.7</v>
      </c>
      <c r="C18">
        <f t="shared" si="5"/>
        <v>0.4223529411764706</v>
      </c>
      <c r="D18">
        <f t="shared" si="3"/>
        <v>0.44812499999999994</v>
      </c>
      <c r="E18">
        <f t="shared" si="3"/>
        <v>0.47533333333333333</v>
      </c>
      <c r="F18">
        <f t="shared" si="3"/>
        <v>0.505</v>
      </c>
      <c r="G18">
        <f t="shared" si="3"/>
        <v>0.53615384615384609</v>
      </c>
      <c r="H18">
        <f t="shared" si="3"/>
        <v>0.56083333333333329</v>
      </c>
      <c r="I18">
        <f t="shared" si="3"/>
        <v>0.52090909090909088</v>
      </c>
      <c r="J18">
        <f t="shared" si="3"/>
        <v>0.47299999999999998</v>
      </c>
      <c r="K18">
        <f t="shared" si="3"/>
        <v>0.41444444444444445</v>
      </c>
      <c r="L18">
        <f t="shared" si="3"/>
        <v>0.34125</v>
      </c>
      <c r="M18">
        <f t="shared" si="3"/>
        <v>0.4681818181818182</v>
      </c>
      <c r="N18">
        <f t="shared" si="3"/>
        <v>0.48333333333333339</v>
      </c>
      <c r="O18">
        <f t="shared" si="3"/>
        <v>0.49230769230769234</v>
      </c>
      <c r="P18">
        <f t="shared" si="3"/>
        <v>0.49642857142857144</v>
      </c>
      <c r="Q18">
        <f t="shared" si="3"/>
        <v>0.47133333333333333</v>
      </c>
      <c r="R18">
        <f t="shared" si="3"/>
        <v>0.4425</v>
      </c>
      <c r="S18">
        <f t="shared" si="3"/>
        <v>0.41882352941176471</v>
      </c>
      <c r="T18">
        <f>POWER($B18-C18,2)</f>
        <v>7.7087889273356372E-2</v>
      </c>
      <c r="U18">
        <f t="shared" si="4"/>
        <v>6.3441015625000013E-2</v>
      </c>
      <c r="V18">
        <f t="shared" si="4"/>
        <v>5.0475111111111096E-2</v>
      </c>
      <c r="W18">
        <f t="shared" si="4"/>
        <v>3.8024999999999982E-2</v>
      </c>
      <c r="X18">
        <f t="shared" si="4"/>
        <v>2.6845562130177521E-2</v>
      </c>
      <c r="Y18">
        <f t="shared" si="4"/>
        <v>1.936736111111111E-2</v>
      </c>
      <c r="Z18">
        <f t="shared" si="4"/>
        <v>3.207355371900826E-2</v>
      </c>
      <c r="AA18">
        <f t="shared" si="4"/>
        <v>5.1528999999999991E-2</v>
      </c>
      <c r="AB18">
        <f t="shared" si="4"/>
        <v>8.1541975308641948E-2</v>
      </c>
      <c r="AC18">
        <f t="shared" si="4"/>
        <v>0.12870156249999998</v>
      </c>
      <c r="AD18">
        <f t="shared" si="4"/>
        <v>5.3739669421487578E-2</v>
      </c>
      <c r="AE18">
        <f t="shared" si="4"/>
        <v>4.69444444444444E-2</v>
      </c>
      <c r="AF18">
        <f t="shared" si="4"/>
        <v>4.3136094674556182E-2</v>
      </c>
      <c r="AG18">
        <f t="shared" si="4"/>
        <v>4.1441326530612221E-2</v>
      </c>
      <c r="AH18">
        <f t="shared" si="4"/>
        <v>5.2288444444444429E-2</v>
      </c>
      <c r="AI18">
        <f t="shared" si="4"/>
        <v>6.6306249999999969E-2</v>
      </c>
      <c r="AJ18">
        <f t="shared" si="4"/>
        <v>7.9060207612456718E-2</v>
      </c>
    </row>
    <row r="19" spans="1:36" x14ac:dyDescent="0.45">
      <c r="A19">
        <v>27</v>
      </c>
      <c r="B19">
        <v>0.65</v>
      </c>
      <c r="C19">
        <f t="shared" si="5"/>
        <v>0.4223529411764706</v>
      </c>
      <c r="D19">
        <f t="shared" si="3"/>
        <v>0.44812499999999994</v>
      </c>
      <c r="E19">
        <f t="shared" si="3"/>
        <v>0.47533333333333333</v>
      </c>
      <c r="F19">
        <f t="shared" si="3"/>
        <v>0.505</v>
      </c>
      <c r="G19">
        <f t="shared" si="3"/>
        <v>0.53615384615384609</v>
      </c>
      <c r="H19">
        <f t="shared" si="3"/>
        <v>0.56083333333333329</v>
      </c>
      <c r="I19">
        <f t="shared" si="3"/>
        <v>0.52090909090909088</v>
      </c>
      <c r="J19">
        <f t="shared" si="3"/>
        <v>0.47299999999999998</v>
      </c>
      <c r="K19">
        <f t="shared" si="3"/>
        <v>0.41444444444444445</v>
      </c>
      <c r="L19">
        <f t="shared" si="3"/>
        <v>0.34125</v>
      </c>
      <c r="M19">
        <f t="shared" si="3"/>
        <v>0.28999999999999998</v>
      </c>
      <c r="N19">
        <f t="shared" si="3"/>
        <v>0.48333333333333339</v>
      </c>
      <c r="O19">
        <f t="shared" si="3"/>
        <v>0.49230769230769234</v>
      </c>
      <c r="P19">
        <f t="shared" si="3"/>
        <v>0.49642857142857144</v>
      </c>
      <c r="Q19">
        <f t="shared" si="3"/>
        <v>0.47133333333333333</v>
      </c>
      <c r="R19">
        <f t="shared" si="3"/>
        <v>0.4425</v>
      </c>
      <c r="S19">
        <f t="shared" si="3"/>
        <v>0.41882352941176471</v>
      </c>
      <c r="T19">
        <f t="shared" si="6"/>
        <v>5.1823183391003468E-2</v>
      </c>
      <c r="U19">
        <f t="shared" si="4"/>
        <v>4.0753515625000035E-2</v>
      </c>
      <c r="V19">
        <f t="shared" si="4"/>
        <v>3.0508444444444453E-2</v>
      </c>
      <c r="W19">
        <f t="shared" si="4"/>
        <v>2.1025000000000005E-2</v>
      </c>
      <c r="X19">
        <f t="shared" si="4"/>
        <v>1.2960946745562149E-2</v>
      </c>
      <c r="Y19">
        <f t="shared" si="4"/>
        <v>7.9506944444444547E-3</v>
      </c>
      <c r="Z19">
        <f t="shared" si="4"/>
        <v>1.6664462809917371E-2</v>
      </c>
      <c r="AA19">
        <f t="shared" si="4"/>
        <v>3.1329000000000017E-2</v>
      </c>
      <c r="AB19">
        <f t="shared" si="4"/>
        <v>5.5486419753086429E-2</v>
      </c>
      <c r="AC19">
        <f t="shared" si="4"/>
        <v>9.5326562500000017E-2</v>
      </c>
      <c r="AD19">
        <f t="shared" si="4"/>
        <v>0.12960000000000002</v>
      </c>
      <c r="AE19">
        <f t="shared" si="4"/>
        <v>2.7777777777777766E-2</v>
      </c>
      <c r="AF19">
        <f t="shared" si="4"/>
        <v>2.4866863905325443E-2</v>
      </c>
      <c r="AG19">
        <f t="shared" si="4"/>
        <v>2.358418367346939E-2</v>
      </c>
      <c r="AH19">
        <f t="shared" si="4"/>
        <v>3.1921777777777785E-2</v>
      </c>
      <c r="AI19">
        <f t="shared" si="4"/>
        <v>4.3056250000000004E-2</v>
      </c>
      <c r="AJ19">
        <f t="shared" si="4"/>
        <v>5.344256055363323E-2</v>
      </c>
    </row>
    <row r="20" spans="1:36" x14ac:dyDescent="0.45">
      <c r="A20">
        <v>28</v>
      </c>
      <c r="B20">
        <v>0.6</v>
      </c>
      <c r="C20">
        <f t="shared" si="5"/>
        <v>0.4223529411764706</v>
      </c>
      <c r="D20">
        <f t="shared" si="3"/>
        <v>0.44812499999999994</v>
      </c>
      <c r="E20">
        <f t="shared" si="3"/>
        <v>0.47533333333333333</v>
      </c>
      <c r="F20">
        <f t="shared" si="3"/>
        <v>0.505</v>
      </c>
      <c r="G20">
        <f t="shared" si="3"/>
        <v>0.53615384615384609</v>
      </c>
      <c r="H20">
        <f t="shared" si="3"/>
        <v>0.56083333333333329</v>
      </c>
      <c r="I20">
        <f t="shared" si="3"/>
        <v>0.52090909090909088</v>
      </c>
      <c r="J20">
        <f t="shared" si="3"/>
        <v>0.47299999999999998</v>
      </c>
      <c r="K20">
        <f t="shared" si="3"/>
        <v>0.41444444444444445</v>
      </c>
      <c r="L20">
        <f t="shared" si="3"/>
        <v>0.34125</v>
      </c>
      <c r="M20">
        <f t="shared" si="3"/>
        <v>0.28999999999999998</v>
      </c>
      <c r="N20">
        <f t="shared" si="3"/>
        <v>0.23</v>
      </c>
      <c r="O20">
        <f t="shared" si="3"/>
        <v>0.49230769230769234</v>
      </c>
      <c r="P20">
        <f t="shared" si="3"/>
        <v>0.49642857142857144</v>
      </c>
      <c r="Q20">
        <f t="shared" si="3"/>
        <v>0.47133333333333333</v>
      </c>
      <c r="R20">
        <f t="shared" si="3"/>
        <v>0.4425</v>
      </c>
      <c r="S20">
        <f t="shared" si="3"/>
        <v>0.41882352941176471</v>
      </c>
      <c r="T20">
        <f t="shared" si="6"/>
        <v>3.1558477508650505E-2</v>
      </c>
      <c r="U20">
        <f t="shared" si="4"/>
        <v>2.3066015625000012E-2</v>
      </c>
      <c r="V20">
        <f t="shared" si="4"/>
        <v>1.5541777777777772E-2</v>
      </c>
      <c r="W20">
        <f t="shared" si="4"/>
        <v>9.0249999999999948E-3</v>
      </c>
      <c r="X20">
        <f t="shared" si="4"/>
        <v>4.0763313609467507E-3</v>
      </c>
      <c r="Y20">
        <f t="shared" si="4"/>
        <v>1.5340277777777791E-3</v>
      </c>
      <c r="Z20">
        <f t="shared" si="4"/>
        <v>6.2553719008264482E-3</v>
      </c>
      <c r="AA20">
        <f t="shared" si="4"/>
        <v>1.6129000000000001E-2</v>
      </c>
      <c r="AB20">
        <f t="shared" si="4"/>
        <v>3.4430864197530851E-2</v>
      </c>
      <c r="AC20">
        <f t="shared" si="4"/>
        <v>6.6951562499999992E-2</v>
      </c>
      <c r="AD20">
        <f t="shared" si="4"/>
        <v>9.6100000000000005E-2</v>
      </c>
      <c r="AE20">
        <f t="shared" si="4"/>
        <v>0.13689999999999999</v>
      </c>
      <c r="AF20">
        <f t="shared" si="4"/>
        <v>1.1597633136094665E-2</v>
      </c>
      <c r="AG20">
        <f t="shared" si="4"/>
        <v>1.0727040816326524E-2</v>
      </c>
      <c r="AH20">
        <f t="shared" si="4"/>
        <v>1.6555111111111107E-2</v>
      </c>
      <c r="AI20">
        <f t="shared" si="4"/>
        <v>2.4806249999999992E-2</v>
      </c>
      <c r="AJ20">
        <f t="shared" si="4"/>
        <v>3.2824913494809684E-2</v>
      </c>
    </row>
    <row r="21" spans="1:36" x14ac:dyDescent="0.45">
      <c r="A21">
        <v>29</v>
      </c>
      <c r="B21">
        <v>0.55000000000000004</v>
      </c>
      <c r="C21">
        <f t="shared" si="5"/>
        <v>0.4223529411764706</v>
      </c>
      <c r="D21">
        <f t="shared" si="3"/>
        <v>0.44812499999999994</v>
      </c>
      <c r="E21">
        <f t="shared" si="3"/>
        <v>0.47533333333333333</v>
      </c>
      <c r="F21">
        <f t="shared" si="3"/>
        <v>0.505</v>
      </c>
      <c r="G21">
        <f t="shared" si="3"/>
        <v>0.53615384615384609</v>
      </c>
      <c r="H21">
        <f t="shared" si="3"/>
        <v>0.56083333333333329</v>
      </c>
      <c r="I21">
        <f t="shared" si="3"/>
        <v>0.52090909090909088</v>
      </c>
      <c r="J21">
        <f t="shared" si="3"/>
        <v>0.47299999999999998</v>
      </c>
      <c r="K21">
        <f t="shared" si="3"/>
        <v>0.41444444444444445</v>
      </c>
      <c r="L21">
        <f t="shared" si="3"/>
        <v>0.34125</v>
      </c>
      <c r="M21">
        <f t="shared" si="3"/>
        <v>0.28999999999999998</v>
      </c>
      <c r="N21">
        <f t="shared" si="3"/>
        <v>0.23</v>
      </c>
      <c r="O21">
        <f t="shared" si="3"/>
        <v>0.156</v>
      </c>
      <c r="P21">
        <f t="shared" si="3"/>
        <v>0.49642857142857144</v>
      </c>
      <c r="Q21">
        <f t="shared" si="3"/>
        <v>0.47133333333333333</v>
      </c>
      <c r="R21">
        <f t="shared" si="3"/>
        <v>0.4425</v>
      </c>
      <c r="S21">
        <f t="shared" si="3"/>
        <v>0.41882352941176471</v>
      </c>
      <c r="T21">
        <f t="shared" si="6"/>
        <v>1.6293771626297585E-2</v>
      </c>
      <c r="U21">
        <f t="shared" si="4"/>
        <v>1.0378515625000022E-2</v>
      </c>
      <c r="V21">
        <f t="shared" si="4"/>
        <v>5.5751111111111184E-3</v>
      </c>
      <c r="W21">
        <f t="shared" si="4"/>
        <v>2.0250000000000038E-3</v>
      </c>
      <c r="X21">
        <f t="shared" si="4"/>
        <v>1.9171597633136389E-4</v>
      </c>
      <c r="Y21">
        <f t="shared" si="4"/>
        <v>1.1736111111110932E-4</v>
      </c>
      <c r="Z21">
        <f t="shared" si="4"/>
        <v>8.462809917355416E-4</v>
      </c>
      <c r="AA21">
        <f t="shared" si="4"/>
        <v>5.9290000000000107E-3</v>
      </c>
      <c r="AB21">
        <f t="shared" si="4"/>
        <v>1.837530864197532E-2</v>
      </c>
      <c r="AC21">
        <f t="shared" si="4"/>
        <v>4.357656250000002E-2</v>
      </c>
      <c r="AD21">
        <f t="shared" si="4"/>
        <v>6.7600000000000035E-2</v>
      </c>
      <c r="AE21">
        <f t="shared" si="4"/>
        <v>0.10240000000000005</v>
      </c>
      <c r="AF21">
        <f t="shared" si="4"/>
        <v>0.15523600000000001</v>
      </c>
      <c r="AG21">
        <f t="shared" si="4"/>
        <v>2.8698979591836767E-3</v>
      </c>
      <c r="AH21">
        <f t="shared" si="4"/>
        <v>6.1884444444444521E-3</v>
      </c>
      <c r="AI21">
        <f t="shared" si="4"/>
        <v>1.1556250000000009E-2</v>
      </c>
      <c r="AJ21">
        <f t="shared" si="4"/>
        <v>1.720726643598617E-2</v>
      </c>
    </row>
    <row r="22" spans="1:36" x14ac:dyDescent="0.45">
      <c r="A22">
        <v>30</v>
      </c>
      <c r="B22">
        <v>0.12</v>
      </c>
      <c r="C22">
        <f t="shared" si="5"/>
        <v>0.4223529411764706</v>
      </c>
      <c r="D22">
        <f t="shared" si="3"/>
        <v>0.44812499999999994</v>
      </c>
      <c r="E22">
        <f t="shared" si="3"/>
        <v>0.47533333333333333</v>
      </c>
      <c r="F22">
        <f t="shared" si="3"/>
        <v>0.505</v>
      </c>
      <c r="G22">
        <f t="shared" si="3"/>
        <v>0.53615384615384609</v>
      </c>
      <c r="H22">
        <f t="shared" si="3"/>
        <v>0.56083333333333329</v>
      </c>
      <c r="I22">
        <f t="shared" si="3"/>
        <v>0.52090909090909088</v>
      </c>
      <c r="J22">
        <f t="shared" si="3"/>
        <v>0.47299999999999998</v>
      </c>
      <c r="K22">
        <f t="shared" si="3"/>
        <v>0.41444444444444445</v>
      </c>
      <c r="L22">
        <f t="shared" si="3"/>
        <v>0.34125</v>
      </c>
      <c r="M22">
        <f t="shared" si="3"/>
        <v>0.28999999999999998</v>
      </c>
      <c r="N22">
        <f t="shared" si="3"/>
        <v>0.23</v>
      </c>
      <c r="O22">
        <f t="shared" si="3"/>
        <v>0.156</v>
      </c>
      <c r="P22">
        <f t="shared" si="3"/>
        <v>5.7500000000000002E-2</v>
      </c>
      <c r="Q22">
        <f t="shared" si="3"/>
        <v>0.47133333333333333</v>
      </c>
      <c r="R22">
        <f t="shared" si="3"/>
        <v>0.4425</v>
      </c>
      <c r="S22">
        <f t="shared" si="3"/>
        <v>0.41882352941176471</v>
      </c>
      <c r="T22">
        <f t="shared" si="6"/>
        <v>9.1417301038062296E-2</v>
      </c>
      <c r="U22">
        <f t="shared" si="4"/>
        <v>0.10766601562499996</v>
      </c>
      <c r="V22">
        <f t="shared" si="4"/>
        <v>0.12626177777777778</v>
      </c>
      <c r="W22">
        <f t="shared" si="4"/>
        <v>0.148225</v>
      </c>
      <c r="X22">
        <f t="shared" si="4"/>
        <v>0.173184023668639</v>
      </c>
      <c r="Y22">
        <f t="shared" si="4"/>
        <v>0.19433402777777775</v>
      </c>
      <c r="Z22">
        <f t="shared" si="4"/>
        <v>0.16072809917355368</v>
      </c>
      <c r="AA22">
        <f t="shared" si="4"/>
        <v>0.12460899999999998</v>
      </c>
      <c r="AB22">
        <f t="shared" si="4"/>
        <v>8.6697530864197542E-2</v>
      </c>
      <c r="AC22">
        <f t="shared" si="4"/>
        <v>4.8951562500000004E-2</v>
      </c>
      <c r="AD22">
        <f t="shared" si="4"/>
        <v>2.8899999999999995E-2</v>
      </c>
      <c r="AE22">
        <f t="shared" si="4"/>
        <v>1.2100000000000003E-2</v>
      </c>
      <c r="AF22">
        <f t="shared" si="4"/>
        <v>1.2960000000000003E-3</v>
      </c>
      <c r="AG22">
        <f t="shared" si="4"/>
        <v>3.9062499999999991E-3</v>
      </c>
      <c r="AH22">
        <f t="shared" si="4"/>
        <v>0.12343511111111111</v>
      </c>
      <c r="AI22">
        <f t="shared" si="4"/>
        <v>0.10400625000000001</v>
      </c>
      <c r="AJ22">
        <f t="shared" si="4"/>
        <v>8.929550173010381E-2</v>
      </c>
    </row>
    <row r="23" spans="1:36" x14ac:dyDescent="0.45">
      <c r="A23">
        <v>35</v>
      </c>
      <c r="B23">
        <v>0.01</v>
      </c>
      <c r="C23">
        <f t="shared" si="5"/>
        <v>0.4223529411764706</v>
      </c>
      <c r="D23">
        <f t="shared" si="3"/>
        <v>0.44812499999999994</v>
      </c>
      <c r="E23">
        <f t="shared" si="3"/>
        <v>0.47533333333333333</v>
      </c>
      <c r="F23">
        <f t="shared" si="3"/>
        <v>0.505</v>
      </c>
      <c r="G23">
        <f t="shared" si="3"/>
        <v>0.53615384615384609</v>
      </c>
      <c r="H23">
        <f t="shared" si="3"/>
        <v>0.56083333333333329</v>
      </c>
      <c r="I23">
        <f t="shared" si="3"/>
        <v>0.52090909090909088</v>
      </c>
      <c r="J23">
        <f t="shared" si="3"/>
        <v>0.47299999999999998</v>
      </c>
      <c r="K23">
        <f t="shared" si="3"/>
        <v>0.41444444444444445</v>
      </c>
      <c r="L23">
        <f t="shared" si="3"/>
        <v>0.34125</v>
      </c>
      <c r="M23">
        <f t="shared" si="3"/>
        <v>0.28999999999999998</v>
      </c>
      <c r="N23">
        <f t="shared" si="3"/>
        <v>0.23</v>
      </c>
      <c r="O23">
        <f t="shared" si="3"/>
        <v>0.156</v>
      </c>
      <c r="P23">
        <f t="shared" si="3"/>
        <v>5.7500000000000002E-2</v>
      </c>
      <c r="Q23">
        <f t="shared" si="3"/>
        <v>3.6666666666666667E-2</v>
      </c>
      <c r="R23">
        <f t="shared" si="3"/>
        <v>0.4425</v>
      </c>
      <c r="S23">
        <f t="shared" si="3"/>
        <v>0.41882352941176471</v>
      </c>
      <c r="T23">
        <f t="shared" si="6"/>
        <v>0.17003494809688582</v>
      </c>
      <c r="U23">
        <f t="shared" si="4"/>
        <v>0.19195351562499993</v>
      </c>
      <c r="V23">
        <f t="shared" si="4"/>
        <v>0.21653511111111109</v>
      </c>
      <c r="W23">
        <f t="shared" si="4"/>
        <v>0.24502499999999999</v>
      </c>
      <c r="X23">
        <f t="shared" si="4"/>
        <v>0.27683786982248515</v>
      </c>
      <c r="Y23">
        <f t="shared" si="4"/>
        <v>0.30341736111111106</v>
      </c>
      <c r="Z23">
        <f t="shared" si="4"/>
        <v>0.26102809917355368</v>
      </c>
      <c r="AA23">
        <f t="shared" si="4"/>
        <v>0.21436899999999998</v>
      </c>
      <c r="AB23">
        <f t="shared" si="4"/>
        <v>0.16357530864197531</v>
      </c>
      <c r="AC23">
        <f t="shared" si="4"/>
        <v>0.1097265625</v>
      </c>
      <c r="AD23">
        <f t="shared" si="4"/>
        <v>7.8399999999999984E-2</v>
      </c>
      <c r="AE23">
        <f t="shared" si="4"/>
        <v>4.8399999999999999E-2</v>
      </c>
      <c r="AF23">
        <f t="shared" si="4"/>
        <v>2.1315999999999998E-2</v>
      </c>
      <c r="AG23">
        <f t="shared" si="4"/>
        <v>2.25625E-3</v>
      </c>
      <c r="AH23">
        <f t="shared" si="4"/>
        <v>7.1111111111111104E-4</v>
      </c>
      <c r="AI23">
        <f t="shared" si="4"/>
        <v>0.18705625000000001</v>
      </c>
      <c r="AJ23">
        <f t="shared" ref="AJ23:AJ25" si="7">POWER($B23-S23,2)</f>
        <v>0.16713667820069203</v>
      </c>
    </row>
    <row r="24" spans="1:36" x14ac:dyDescent="0.45">
      <c r="A24">
        <v>37</v>
      </c>
      <c r="B24">
        <v>0.04</v>
      </c>
      <c r="C24">
        <f t="shared" si="5"/>
        <v>0.4223529411764706</v>
      </c>
      <c r="D24">
        <f t="shared" ref="D24:S25" si="8">IF($A24&lt;D$1,D$2,D$3)</f>
        <v>0.44812499999999994</v>
      </c>
      <c r="E24">
        <f t="shared" si="8"/>
        <v>0.47533333333333333</v>
      </c>
      <c r="F24">
        <f t="shared" si="8"/>
        <v>0.505</v>
      </c>
      <c r="G24">
        <f t="shared" si="8"/>
        <v>0.53615384615384609</v>
      </c>
      <c r="H24">
        <f t="shared" si="8"/>
        <v>0.56083333333333329</v>
      </c>
      <c r="I24">
        <f t="shared" si="8"/>
        <v>0.52090909090909088</v>
      </c>
      <c r="J24">
        <f t="shared" si="8"/>
        <v>0.47299999999999998</v>
      </c>
      <c r="K24">
        <f t="shared" si="8"/>
        <v>0.41444444444444445</v>
      </c>
      <c r="L24">
        <f t="shared" si="8"/>
        <v>0.34125</v>
      </c>
      <c r="M24">
        <f t="shared" si="8"/>
        <v>0.28999999999999998</v>
      </c>
      <c r="N24">
        <f t="shared" si="8"/>
        <v>0.23</v>
      </c>
      <c r="O24">
        <f t="shared" si="8"/>
        <v>0.156</v>
      </c>
      <c r="P24">
        <f t="shared" si="8"/>
        <v>5.7500000000000002E-2</v>
      </c>
      <c r="Q24">
        <f t="shared" si="8"/>
        <v>3.6666666666666667E-2</v>
      </c>
      <c r="R24">
        <f t="shared" si="8"/>
        <v>0.05</v>
      </c>
      <c r="S24">
        <f t="shared" si="8"/>
        <v>0.41882352941176471</v>
      </c>
      <c r="T24">
        <f t="shared" si="6"/>
        <v>0.1461937716262976</v>
      </c>
      <c r="U24">
        <f t="shared" ref="U24:U25" si="9">POWER($B24-D24,2)</f>
        <v>0.16656601562499998</v>
      </c>
      <c r="V24">
        <f t="shared" ref="V24:V25" si="10">POWER($B24-E24,2)</f>
        <v>0.18951511111111113</v>
      </c>
      <c r="W24">
        <f t="shared" ref="W24:W25" si="11">POWER($B24-F24,2)</f>
        <v>0.21622500000000003</v>
      </c>
      <c r="X24">
        <f t="shared" ref="X24:X25" si="12">POWER($B24-G24,2)</f>
        <v>0.2461686390532544</v>
      </c>
      <c r="Y24">
        <f t="shared" ref="Y24:Y25" si="13">POWER($B24-H24,2)</f>
        <v>0.27126736111111105</v>
      </c>
      <c r="Z24">
        <f t="shared" ref="Z24:Z25" si="14">POWER($B24-I24,2)</f>
        <v>0.23127355371900826</v>
      </c>
      <c r="AA24">
        <f t="shared" ref="AA24:AA25" si="15">POWER($B24-J24,2)</f>
        <v>0.18748899999999999</v>
      </c>
      <c r="AB24">
        <f t="shared" ref="AB24:AB25" si="16">POWER($B24-K24,2)</f>
        <v>0.14020864197530866</v>
      </c>
      <c r="AC24">
        <f t="shared" ref="AC24:AC25" si="17">POWER($B24-L24,2)</f>
        <v>9.0751562500000008E-2</v>
      </c>
      <c r="AD24">
        <f t="shared" ref="AD24:AD25" si="18">POWER($B24-M24,2)</f>
        <v>6.2499999999999986E-2</v>
      </c>
      <c r="AE24">
        <f t="shared" ref="AE24:AE25" si="19">POWER($B24-N24,2)</f>
        <v>3.61E-2</v>
      </c>
      <c r="AF24">
        <f t="shared" ref="AF24:AF25" si="20">POWER($B24-O24,2)</f>
        <v>1.3455999999999997E-2</v>
      </c>
      <c r="AG24">
        <f t="shared" ref="AG24:AG25" si="21">POWER($B24-P24,2)</f>
        <v>3.0625000000000004E-4</v>
      </c>
      <c r="AH24">
        <f t="shared" ref="AH24:AH25" si="22">POWER($B24-Q24,2)</f>
        <v>1.1111111111111115E-5</v>
      </c>
      <c r="AI24">
        <f t="shared" ref="AI24:AI25" si="23">POWER($B24-R24,2)</f>
        <v>1.0000000000000005E-4</v>
      </c>
      <c r="AJ24">
        <f t="shared" si="7"/>
        <v>0.14350726643598619</v>
      </c>
    </row>
    <row r="25" spans="1:36" x14ac:dyDescent="0.45">
      <c r="A25">
        <v>40</v>
      </c>
      <c r="B25">
        <v>0.06</v>
      </c>
      <c r="C25">
        <f t="shared" si="5"/>
        <v>0.4223529411764706</v>
      </c>
      <c r="D25">
        <f t="shared" si="8"/>
        <v>0.44812499999999994</v>
      </c>
      <c r="E25">
        <f t="shared" si="8"/>
        <v>0.47533333333333333</v>
      </c>
      <c r="F25">
        <f t="shared" si="8"/>
        <v>0.505</v>
      </c>
      <c r="G25">
        <f t="shared" si="8"/>
        <v>0.53615384615384609</v>
      </c>
      <c r="H25">
        <f t="shared" si="8"/>
        <v>0.56083333333333329</v>
      </c>
      <c r="I25">
        <f t="shared" si="8"/>
        <v>0.52090909090909088</v>
      </c>
      <c r="J25">
        <f t="shared" si="8"/>
        <v>0.47299999999999998</v>
      </c>
      <c r="K25">
        <f t="shared" si="8"/>
        <v>0.41444444444444445</v>
      </c>
      <c r="L25">
        <f t="shared" si="8"/>
        <v>0.34125</v>
      </c>
      <c r="M25">
        <f t="shared" si="8"/>
        <v>0.28999999999999998</v>
      </c>
      <c r="N25">
        <f t="shared" si="8"/>
        <v>0.23</v>
      </c>
      <c r="O25">
        <f t="shared" si="8"/>
        <v>0.156</v>
      </c>
      <c r="P25">
        <f t="shared" si="8"/>
        <v>5.7500000000000002E-2</v>
      </c>
      <c r="Q25">
        <f t="shared" si="8"/>
        <v>3.6666666666666667E-2</v>
      </c>
      <c r="R25">
        <f t="shared" si="8"/>
        <v>0.05</v>
      </c>
      <c r="S25">
        <f t="shared" si="8"/>
        <v>0.06</v>
      </c>
      <c r="T25">
        <f t="shared" si="6"/>
        <v>0.13129965397923876</v>
      </c>
      <c r="U25">
        <f t="shared" si="9"/>
        <v>0.15064101562499996</v>
      </c>
      <c r="V25">
        <f t="shared" si="10"/>
        <v>0.17250177777777778</v>
      </c>
      <c r="W25">
        <f t="shared" si="11"/>
        <v>0.19802500000000001</v>
      </c>
      <c r="X25">
        <f t="shared" si="12"/>
        <v>0.22672248520710053</v>
      </c>
      <c r="Y25">
        <f t="shared" si="13"/>
        <v>0.25083402777777769</v>
      </c>
      <c r="Z25">
        <f t="shared" si="14"/>
        <v>0.21243719008264461</v>
      </c>
      <c r="AA25">
        <f t="shared" si="15"/>
        <v>0.17056899999999997</v>
      </c>
      <c r="AB25">
        <f t="shared" si="16"/>
        <v>0.12563086419753086</v>
      </c>
      <c r="AC25">
        <f t="shared" si="17"/>
        <v>7.91015625E-2</v>
      </c>
      <c r="AD25">
        <f t="shared" si="18"/>
        <v>5.2899999999999989E-2</v>
      </c>
      <c r="AE25">
        <f t="shared" si="19"/>
        <v>2.8900000000000006E-2</v>
      </c>
      <c r="AF25">
        <f t="shared" si="20"/>
        <v>9.2160000000000002E-3</v>
      </c>
      <c r="AG25">
        <f t="shared" si="21"/>
        <v>6.2499999999999766E-6</v>
      </c>
      <c r="AH25">
        <f t="shared" si="22"/>
        <v>5.4444444444444429E-4</v>
      </c>
      <c r="AI25">
        <f t="shared" si="23"/>
        <v>9.9999999999999896E-5</v>
      </c>
      <c r="AJ25">
        <f t="shared" si="7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Sergio</dc:creator>
  <cp:lastModifiedBy>Sergio Alejandro Chavez Molotla</cp:lastModifiedBy>
  <dcterms:created xsi:type="dcterms:W3CDTF">2024-01-21T16:07:22Z</dcterms:created>
  <dcterms:modified xsi:type="dcterms:W3CDTF">2025-04-02T03:07:05Z</dcterms:modified>
</cp:coreProperties>
</file>